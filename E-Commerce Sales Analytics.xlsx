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 Study &amp; Learn\📊 Excel &amp; Google Sheets\LearnIT- Excel\Advanced\"/>
    </mc:Choice>
  </mc:AlternateContent>
  <xr:revisionPtr revIDLastSave="0" documentId="13_ncr:1_{9877A682-E150-48E4-9877-BE11302F917E}" xr6:coauthVersionLast="47" xr6:coauthVersionMax="47" xr10:uidLastSave="{00000000-0000-0000-0000-000000000000}"/>
  <bookViews>
    <workbookView xWindow="-108" yWindow="-108" windowWidth="23256" windowHeight="12576" tabRatio="712" xr2:uid="{4CE3CC45-8EE9-4015-8BD6-7CD1C68DF66E}"/>
  </bookViews>
  <sheets>
    <sheet name="Dashboard" sheetId="13" r:id="rId1"/>
    <sheet name="sales_data_original" sheetId="14" r:id="rId2"/>
    <sheet name="sales_data" sheetId="1" r:id="rId3"/>
    <sheet name="sorted_analysis" sheetId="5" r:id="rId4"/>
    <sheet name="Region_Analysis" sheetId="10" r:id="rId5"/>
    <sheet name="Product_Analysis" sheetId="11" r:id="rId6"/>
    <sheet name="Customer_Analysis" sheetId="12" r:id="rId7"/>
    <sheet name="Product_Trends" sheetId="6" r:id="rId8"/>
  </sheets>
  <definedNames>
    <definedName name="NativeTimeline_Order_Date">#N/A</definedName>
    <definedName name="Slicer_Order_Status">#N/A</definedName>
    <definedName name="Slicer_Product_Category1">#N/A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6" l="1"/>
  <c r="K4" i="6"/>
  <c r="K5" i="6"/>
  <c r="K2" i="6"/>
  <c r="J5" i="6"/>
  <c r="I5" i="6"/>
  <c r="H5" i="6"/>
  <c r="G5" i="6"/>
  <c r="F5" i="6"/>
  <c r="E5" i="6"/>
  <c r="D5" i="6"/>
  <c r="C5" i="6"/>
  <c r="J4" i="6"/>
  <c r="I4" i="6"/>
  <c r="H4" i="6"/>
  <c r="G4" i="6"/>
  <c r="F4" i="6"/>
  <c r="E4" i="6"/>
  <c r="D4" i="6"/>
  <c r="C4" i="6"/>
  <c r="J3" i="6"/>
  <c r="I3" i="6"/>
  <c r="H3" i="6"/>
  <c r="G3" i="6"/>
  <c r="F3" i="6"/>
  <c r="E3" i="6"/>
  <c r="D3" i="6"/>
  <c r="C3" i="6"/>
  <c r="J2" i="6"/>
  <c r="I2" i="6"/>
  <c r="H2" i="6"/>
  <c r="G2" i="6"/>
  <c r="F2" i="6"/>
  <c r="E2" i="6"/>
  <c r="D2" i="6"/>
  <c r="C2" i="6"/>
  <c r="B4" i="6"/>
  <c r="B5" i="6"/>
  <c r="B3" i="6"/>
  <c r="B2" i="6"/>
  <c r="L110" i="5"/>
  <c r="C110" i="5"/>
  <c r="L109" i="5"/>
  <c r="C109" i="5"/>
  <c r="L108" i="5"/>
  <c r="C108" i="5"/>
  <c r="L107" i="5"/>
  <c r="C107" i="5"/>
  <c r="L106" i="5"/>
  <c r="C106" i="5"/>
  <c r="L105" i="5"/>
  <c r="C105" i="5"/>
  <c r="L104" i="5"/>
  <c r="C104" i="5"/>
  <c r="L103" i="5"/>
  <c r="C103" i="5"/>
  <c r="L102" i="5"/>
  <c r="N102" i="5" s="1"/>
  <c r="O102" i="5" s="1"/>
  <c r="C102" i="5"/>
  <c r="L101" i="5"/>
  <c r="C101" i="5"/>
  <c r="L100" i="5"/>
  <c r="C100" i="5"/>
  <c r="L99" i="5"/>
  <c r="C99" i="5"/>
  <c r="L98" i="5"/>
  <c r="N98" i="5" s="1"/>
  <c r="O98" i="5" s="1"/>
  <c r="Q98" i="5" s="1"/>
  <c r="R98" i="5" s="1"/>
  <c r="C98" i="5"/>
  <c r="L97" i="5"/>
  <c r="C97" i="5"/>
  <c r="L96" i="5"/>
  <c r="C96" i="5"/>
  <c r="L95" i="5"/>
  <c r="N95" i="5" s="1"/>
  <c r="C95" i="5"/>
  <c r="L94" i="5"/>
  <c r="N94" i="5" s="1"/>
  <c r="C94" i="5"/>
  <c r="L93" i="5"/>
  <c r="C93" i="5"/>
  <c r="L92" i="5"/>
  <c r="N92" i="5" s="1"/>
  <c r="C92" i="5"/>
  <c r="L91" i="5"/>
  <c r="C91" i="5"/>
  <c r="L90" i="5"/>
  <c r="N90" i="5" s="1"/>
  <c r="C90" i="5"/>
  <c r="L89" i="5"/>
  <c r="C89" i="5"/>
  <c r="L88" i="5"/>
  <c r="C88" i="5"/>
  <c r="L87" i="5"/>
  <c r="N87" i="5" s="1"/>
  <c r="C87" i="5"/>
  <c r="L86" i="5"/>
  <c r="N86" i="5" s="1"/>
  <c r="C86" i="5"/>
  <c r="L82" i="5"/>
  <c r="C82" i="5"/>
  <c r="L81" i="5"/>
  <c r="N81" i="5" s="1"/>
  <c r="C81" i="5"/>
  <c r="L80" i="5"/>
  <c r="C80" i="5"/>
  <c r="L79" i="5"/>
  <c r="C79" i="5"/>
  <c r="L78" i="5"/>
  <c r="C78" i="5"/>
  <c r="L77" i="5"/>
  <c r="C77" i="5"/>
  <c r="L76" i="5"/>
  <c r="C76" i="5"/>
  <c r="L75" i="5"/>
  <c r="C75" i="5"/>
  <c r="L74" i="5"/>
  <c r="C74" i="5"/>
  <c r="L73" i="5"/>
  <c r="N73" i="5" s="1"/>
  <c r="C73" i="5"/>
  <c r="L72" i="5"/>
  <c r="C72" i="5"/>
  <c r="L71" i="5"/>
  <c r="C71" i="5"/>
  <c r="L70" i="5"/>
  <c r="C70" i="5"/>
  <c r="L69" i="5"/>
  <c r="C69" i="5"/>
  <c r="L68" i="5"/>
  <c r="N68" i="5" s="1"/>
  <c r="C68" i="5"/>
  <c r="L67" i="5"/>
  <c r="C67" i="5"/>
  <c r="L66" i="5"/>
  <c r="N66" i="5" s="1"/>
  <c r="C66" i="5"/>
  <c r="L65" i="5"/>
  <c r="N65" i="5" s="1"/>
  <c r="C65" i="5"/>
  <c r="L64" i="5"/>
  <c r="C64" i="5"/>
  <c r="L63" i="5"/>
  <c r="C63" i="5"/>
  <c r="L62" i="5"/>
  <c r="N62" i="5" s="1"/>
  <c r="C62" i="5"/>
  <c r="L61" i="5"/>
  <c r="C61" i="5"/>
  <c r="L60" i="5"/>
  <c r="N60" i="5" s="1"/>
  <c r="C60" i="5"/>
  <c r="L59" i="5"/>
  <c r="C59" i="5"/>
  <c r="L58" i="5"/>
  <c r="N58" i="5" s="1"/>
  <c r="C58" i="5"/>
  <c r="L54" i="5"/>
  <c r="C54" i="5"/>
  <c r="L53" i="5"/>
  <c r="C53" i="5"/>
  <c r="L52" i="5"/>
  <c r="N52" i="5" s="1"/>
  <c r="C52" i="5"/>
  <c r="L51" i="5"/>
  <c r="N51" i="5" s="1"/>
  <c r="C51" i="5"/>
  <c r="L50" i="5"/>
  <c r="C50" i="5"/>
  <c r="L49" i="5"/>
  <c r="C49" i="5"/>
  <c r="L48" i="5"/>
  <c r="N48" i="5" s="1"/>
  <c r="C48" i="5"/>
  <c r="L47" i="5"/>
  <c r="N47" i="5" s="1"/>
  <c r="C47" i="5"/>
  <c r="L46" i="5"/>
  <c r="C46" i="5"/>
  <c r="L45" i="5"/>
  <c r="N45" i="5" s="1"/>
  <c r="C45" i="5"/>
  <c r="L44" i="5"/>
  <c r="N44" i="5" s="1"/>
  <c r="O44" i="5" s="1"/>
  <c r="Q44" i="5" s="1"/>
  <c r="R44" i="5" s="1"/>
  <c r="C44" i="5"/>
  <c r="L43" i="5"/>
  <c r="C43" i="5"/>
  <c r="L42" i="5"/>
  <c r="N42" i="5" s="1"/>
  <c r="C42" i="5"/>
  <c r="L41" i="5"/>
  <c r="N41" i="5" s="1"/>
  <c r="C41" i="5"/>
  <c r="L40" i="5"/>
  <c r="N40" i="5" s="1"/>
  <c r="O40" i="5" s="1"/>
  <c r="Q40" i="5" s="1"/>
  <c r="R40" i="5" s="1"/>
  <c r="C40" i="5"/>
  <c r="L39" i="5"/>
  <c r="C39" i="5"/>
  <c r="L38" i="5"/>
  <c r="N46" i="5" s="1"/>
  <c r="C38" i="5"/>
  <c r="L37" i="5"/>
  <c r="N37" i="5" s="1"/>
  <c r="C37" i="5"/>
  <c r="L36" i="5"/>
  <c r="C36" i="5"/>
  <c r="L35" i="5"/>
  <c r="C35" i="5"/>
  <c r="L34" i="5"/>
  <c r="N34" i="5" s="1"/>
  <c r="C34" i="5"/>
  <c r="L33" i="5"/>
  <c r="C33" i="5"/>
  <c r="L32" i="5"/>
  <c r="C32" i="5"/>
  <c r="L31" i="5"/>
  <c r="N31" i="5" s="1"/>
  <c r="C31" i="5"/>
  <c r="L30" i="5"/>
  <c r="N30" i="5" s="1"/>
  <c r="C30" i="5"/>
  <c r="L26" i="5"/>
  <c r="C26" i="5"/>
  <c r="L25" i="5"/>
  <c r="N25" i="5" s="1"/>
  <c r="C25" i="5"/>
  <c r="L24" i="5"/>
  <c r="C24" i="5"/>
  <c r="L23" i="5"/>
  <c r="C23" i="5"/>
  <c r="L22" i="5"/>
  <c r="C22" i="5"/>
  <c r="L21" i="5"/>
  <c r="C21" i="5"/>
  <c r="L20" i="5"/>
  <c r="N20" i="5" s="1"/>
  <c r="C20" i="5"/>
  <c r="L19" i="5"/>
  <c r="C19" i="5"/>
  <c r="L18" i="5"/>
  <c r="N18" i="5" s="1"/>
  <c r="C18" i="5"/>
  <c r="L17" i="5"/>
  <c r="C17" i="5"/>
  <c r="L16" i="5"/>
  <c r="C16" i="5"/>
  <c r="L15" i="5"/>
  <c r="C15" i="5"/>
  <c r="L14" i="5"/>
  <c r="N14" i="5" s="1"/>
  <c r="O14" i="5" s="1"/>
  <c r="Q14" i="5" s="1"/>
  <c r="R14" i="5" s="1"/>
  <c r="C14" i="5"/>
  <c r="L13" i="5"/>
  <c r="N13" i="5" s="1"/>
  <c r="C13" i="5"/>
  <c r="L12" i="5"/>
  <c r="N12" i="5" s="1"/>
  <c r="C12" i="5"/>
  <c r="L11" i="5"/>
  <c r="C11" i="5"/>
  <c r="L10" i="5"/>
  <c r="C10" i="5"/>
  <c r="L9" i="5"/>
  <c r="N9" i="5" s="1"/>
  <c r="C9" i="5"/>
  <c r="L8" i="5"/>
  <c r="C8" i="5"/>
  <c r="L7" i="5"/>
  <c r="C7" i="5"/>
  <c r="L6" i="5"/>
  <c r="N6" i="5" s="1"/>
  <c r="C6" i="5"/>
  <c r="L5" i="5"/>
  <c r="N5" i="5" s="1"/>
  <c r="C5" i="5"/>
  <c r="L4" i="5"/>
  <c r="N4" i="5" s="1"/>
  <c r="C4" i="5"/>
  <c r="L3" i="5"/>
  <c r="C3" i="5"/>
  <c r="L2" i="5"/>
  <c r="N2" i="5" s="1"/>
  <c r="C2" i="5"/>
  <c r="C9" i="1"/>
  <c r="C30" i="1"/>
  <c r="C59" i="1"/>
  <c r="C82" i="1"/>
  <c r="C19" i="1"/>
  <c r="C42" i="1"/>
  <c r="C57" i="1"/>
  <c r="C94" i="1"/>
  <c r="C16" i="1"/>
  <c r="C43" i="1"/>
  <c r="C58" i="1"/>
  <c r="C87" i="1"/>
  <c r="C23" i="1"/>
  <c r="C49" i="1"/>
  <c r="C60" i="1"/>
  <c r="C98" i="1"/>
  <c r="C25" i="1"/>
  <c r="C41" i="1"/>
  <c r="C56" i="1"/>
  <c r="C81" i="1"/>
  <c r="C4" i="1"/>
  <c r="C40" i="1"/>
  <c r="C75" i="1"/>
  <c r="C93" i="1"/>
  <c r="C24" i="1"/>
  <c r="C38" i="1"/>
  <c r="C64" i="1"/>
  <c r="C77" i="1"/>
  <c r="C22" i="1"/>
  <c r="C39" i="1"/>
  <c r="C65" i="1"/>
  <c r="C97" i="1"/>
  <c r="C7" i="1"/>
  <c r="C47" i="1"/>
  <c r="C62" i="1"/>
  <c r="C89" i="1"/>
  <c r="C2" i="1"/>
  <c r="C45" i="1"/>
  <c r="C68" i="1"/>
  <c r="C86" i="1"/>
  <c r="C14" i="1"/>
  <c r="C28" i="1"/>
  <c r="C70" i="1"/>
  <c r="C78" i="1"/>
  <c r="C21" i="1"/>
  <c r="C32" i="1"/>
  <c r="C53" i="1"/>
  <c r="C92" i="1"/>
  <c r="C3" i="1"/>
  <c r="C48" i="1"/>
  <c r="C54" i="1"/>
  <c r="C100" i="1"/>
  <c r="C11" i="1"/>
  <c r="C34" i="1"/>
  <c r="C67" i="1"/>
  <c r="C99" i="1"/>
  <c r="C18" i="1"/>
  <c r="C44" i="1"/>
  <c r="C71" i="1"/>
  <c r="C85" i="1"/>
  <c r="C10" i="1"/>
  <c r="C29" i="1"/>
  <c r="C69" i="1"/>
  <c r="C83" i="1"/>
  <c r="C13" i="1"/>
  <c r="C27" i="1"/>
  <c r="C66" i="1"/>
  <c r="C88" i="1"/>
  <c r="C5" i="1"/>
  <c r="C50" i="1"/>
  <c r="C72" i="1"/>
  <c r="C79" i="1"/>
  <c r="C6" i="1"/>
  <c r="C33" i="1"/>
  <c r="C63" i="1"/>
  <c r="C80" i="1"/>
  <c r="C17" i="1"/>
  <c r="C31" i="1"/>
  <c r="C61" i="1"/>
  <c r="C96" i="1"/>
  <c r="C8" i="1"/>
  <c r="C35" i="1"/>
  <c r="C73" i="1"/>
  <c r="C95" i="1"/>
  <c r="C20" i="1"/>
  <c r="C46" i="1"/>
  <c r="C52" i="1"/>
  <c r="C90" i="1"/>
  <c r="C26" i="1"/>
  <c r="C36" i="1"/>
  <c r="C55" i="1"/>
  <c r="C101" i="1"/>
  <c r="C12" i="1"/>
  <c r="C37" i="1"/>
  <c r="C76" i="1"/>
  <c r="C84" i="1"/>
  <c r="C15" i="1"/>
  <c r="C51" i="1"/>
  <c r="C74" i="1"/>
  <c r="C91" i="1"/>
  <c r="L9" i="1"/>
  <c r="N9" i="1" s="1"/>
  <c r="L30" i="1"/>
  <c r="N30" i="1" s="1"/>
  <c r="L59" i="1"/>
  <c r="N59" i="1" s="1"/>
  <c r="L82" i="1"/>
  <c r="N82" i="1" s="1"/>
  <c r="L19" i="1"/>
  <c r="N19" i="1" s="1"/>
  <c r="L42" i="1"/>
  <c r="N42" i="1" s="1"/>
  <c r="L57" i="1"/>
  <c r="N57" i="1" s="1"/>
  <c r="L94" i="1"/>
  <c r="N94" i="1" s="1"/>
  <c r="L16" i="1"/>
  <c r="N16" i="1" s="1"/>
  <c r="L43" i="1"/>
  <c r="N43" i="1" s="1"/>
  <c r="L58" i="1"/>
  <c r="L87" i="1"/>
  <c r="L23" i="1"/>
  <c r="N23" i="1" s="1"/>
  <c r="L49" i="1"/>
  <c r="N49" i="1" s="1"/>
  <c r="L60" i="1"/>
  <c r="N60" i="1" s="1"/>
  <c r="L98" i="1"/>
  <c r="N98" i="1" s="1"/>
  <c r="L25" i="1"/>
  <c r="N25" i="1" s="1"/>
  <c r="L41" i="1"/>
  <c r="N41" i="1" s="1"/>
  <c r="L56" i="1"/>
  <c r="N56" i="1" s="1"/>
  <c r="L81" i="1"/>
  <c r="N81" i="1" s="1"/>
  <c r="L4" i="1"/>
  <c r="N4" i="1" s="1"/>
  <c r="L40" i="1"/>
  <c r="N40" i="1" s="1"/>
  <c r="L75" i="1"/>
  <c r="N75" i="1" s="1"/>
  <c r="L93" i="1"/>
  <c r="N93" i="1" s="1"/>
  <c r="L24" i="1"/>
  <c r="N24" i="1" s="1"/>
  <c r="L38" i="1"/>
  <c r="N38" i="1" s="1"/>
  <c r="L64" i="1"/>
  <c r="L77" i="1"/>
  <c r="L22" i="1"/>
  <c r="L39" i="1"/>
  <c r="N39" i="1" s="1"/>
  <c r="L65" i="1"/>
  <c r="N65" i="1" s="1"/>
  <c r="L97" i="1"/>
  <c r="N97" i="1" s="1"/>
  <c r="L7" i="1"/>
  <c r="N7" i="1" s="1"/>
  <c r="L47" i="1"/>
  <c r="N47" i="1" s="1"/>
  <c r="L62" i="1"/>
  <c r="N62" i="1" s="1"/>
  <c r="L89" i="1"/>
  <c r="N89" i="1" s="1"/>
  <c r="L2" i="1"/>
  <c r="N2" i="1" s="1"/>
  <c r="L45" i="1"/>
  <c r="N45" i="1" s="1"/>
  <c r="L68" i="1"/>
  <c r="N68" i="1" s="1"/>
  <c r="L86" i="1"/>
  <c r="N86" i="1" s="1"/>
  <c r="L14" i="1"/>
  <c r="N14" i="1" s="1"/>
  <c r="L28" i="1"/>
  <c r="N28" i="1" s="1"/>
  <c r="L70" i="1"/>
  <c r="L78" i="1"/>
  <c r="L21" i="1"/>
  <c r="N21" i="1" s="1"/>
  <c r="L32" i="1"/>
  <c r="N32" i="1" s="1"/>
  <c r="L53" i="1"/>
  <c r="N53" i="1" s="1"/>
  <c r="L92" i="1"/>
  <c r="N92" i="1" s="1"/>
  <c r="L3" i="1"/>
  <c r="N3" i="1" s="1"/>
  <c r="L48" i="1"/>
  <c r="N48" i="1" s="1"/>
  <c r="L54" i="1"/>
  <c r="N54" i="1" s="1"/>
  <c r="L100" i="1"/>
  <c r="N100" i="1" s="1"/>
  <c r="L11" i="1"/>
  <c r="N11" i="1" s="1"/>
  <c r="L34" i="1"/>
  <c r="N34" i="1" s="1"/>
  <c r="L67" i="1"/>
  <c r="N67" i="1" s="1"/>
  <c r="L99" i="1"/>
  <c r="N99" i="1" s="1"/>
  <c r="L18" i="1"/>
  <c r="N18" i="1" s="1"/>
  <c r="L44" i="1"/>
  <c r="N44" i="1" s="1"/>
  <c r="L71" i="1"/>
  <c r="L85" i="1"/>
  <c r="L10" i="1"/>
  <c r="N10" i="1" s="1"/>
  <c r="L29" i="1"/>
  <c r="N29" i="1" s="1"/>
  <c r="L69" i="1"/>
  <c r="N69" i="1" s="1"/>
  <c r="L83" i="1"/>
  <c r="N83" i="1" s="1"/>
  <c r="L13" i="1"/>
  <c r="N13" i="1" s="1"/>
  <c r="L27" i="1"/>
  <c r="N27" i="1" s="1"/>
  <c r="L66" i="1"/>
  <c r="N66" i="1" s="1"/>
  <c r="L88" i="1"/>
  <c r="N88" i="1" s="1"/>
  <c r="L5" i="1"/>
  <c r="N5" i="1" s="1"/>
  <c r="L50" i="1"/>
  <c r="N50" i="1" s="1"/>
  <c r="L72" i="1"/>
  <c r="N72" i="1" s="1"/>
  <c r="L79" i="1"/>
  <c r="N79" i="1" s="1"/>
  <c r="L6" i="1"/>
  <c r="N6" i="1" s="1"/>
  <c r="L33" i="1"/>
  <c r="N33" i="1" s="1"/>
  <c r="L63" i="1"/>
  <c r="L80" i="1"/>
  <c r="L17" i="1"/>
  <c r="L31" i="1"/>
  <c r="N31" i="1" s="1"/>
  <c r="L61" i="1"/>
  <c r="N61" i="1" s="1"/>
  <c r="L96" i="1"/>
  <c r="N96" i="1" s="1"/>
  <c r="L8" i="1"/>
  <c r="N8" i="1" s="1"/>
  <c r="L35" i="1"/>
  <c r="N35" i="1" s="1"/>
  <c r="L73" i="1"/>
  <c r="N73" i="1" s="1"/>
  <c r="L95" i="1"/>
  <c r="N95" i="1" s="1"/>
  <c r="L20" i="1"/>
  <c r="N20" i="1" s="1"/>
  <c r="L46" i="1"/>
  <c r="N46" i="1" s="1"/>
  <c r="L52" i="1"/>
  <c r="N52" i="1" s="1"/>
  <c r="L90" i="1"/>
  <c r="N90" i="1" s="1"/>
  <c r="L26" i="1"/>
  <c r="N26" i="1" s="1"/>
  <c r="L36" i="1"/>
  <c r="N36" i="1" s="1"/>
  <c r="L55" i="1"/>
  <c r="L101" i="1"/>
  <c r="L12" i="1"/>
  <c r="N12" i="1" s="1"/>
  <c r="L37" i="1"/>
  <c r="N37" i="1" s="1"/>
  <c r="L76" i="1"/>
  <c r="N76" i="1" s="1"/>
  <c r="L84" i="1"/>
  <c r="N84" i="1" s="1"/>
  <c r="L15" i="1"/>
  <c r="N15" i="1" s="1"/>
  <c r="L51" i="1"/>
  <c r="N51" i="1" s="1"/>
  <c r="L74" i="1"/>
  <c r="N74" i="1" s="1"/>
  <c r="L91" i="1"/>
  <c r="N91" i="1" s="1"/>
  <c r="N11" i="5" l="1"/>
  <c r="O11" i="5" s="1"/>
  <c r="Q11" i="5" s="1"/>
  <c r="N93" i="5"/>
  <c r="O93" i="5" s="1"/>
  <c r="Q93" i="5" s="1"/>
  <c r="N21" i="5"/>
  <c r="N17" i="5"/>
  <c r="O17" i="5" s="1"/>
  <c r="Q17" i="5" s="1"/>
  <c r="R17" i="5" s="1"/>
  <c r="N38" i="5"/>
  <c r="O38" i="5" s="1"/>
  <c r="N100" i="5"/>
  <c r="N59" i="5"/>
  <c r="O59" i="5" s="1"/>
  <c r="N63" i="5"/>
  <c r="N67" i="5"/>
  <c r="O67" i="5" s="1"/>
  <c r="N71" i="5"/>
  <c r="O71" i="5" s="1"/>
  <c r="N75" i="5"/>
  <c r="O75" i="5" s="1"/>
  <c r="N79" i="5"/>
  <c r="O45" i="5"/>
  <c r="Q45" i="5" s="1"/>
  <c r="N49" i="5"/>
  <c r="O49" i="5" s="1"/>
  <c r="N97" i="5"/>
  <c r="N19" i="5"/>
  <c r="O19" i="5" s="1"/>
  <c r="N22" i="5"/>
  <c r="O22" i="5" s="1"/>
  <c r="N26" i="5"/>
  <c r="O26" i="5" s="1"/>
  <c r="N32" i="5"/>
  <c r="O32" i="5" s="1"/>
  <c r="N36" i="5"/>
  <c r="O36" i="5" s="1"/>
  <c r="N39" i="5"/>
  <c r="O39" i="5" s="1"/>
  <c r="N101" i="5"/>
  <c r="O101" i="5" s="1"/>
  <c r="N104" i="5"/>
  <c r="O104" i="5" s="1"/>
  <c r="N108" i="5"/>
  <c r="O108" i="5" s="1"/>
  <c r="O41" i="5"/>
  <c r="N16" i="5"/>
  <c r="O12" i="5" s="1"/>
  <c r="Q12" i="5" s="1"/>
  <c r="N43" i="5"/>
  <c r="O43" i="5" s="1"/>
  <c r="Q43" i="5" s="1"/>
  <c r="O94" i="5"/>
  <c r="Q94" i="5" s="1"/>
  <c r="O2" i="5"/>
  <c r="Q2" i="5" s="1"/>
  <c r="O9" i="5"/>
  <c r="Q9" i="5" s="1"/>
  <c r="N23" i="5"/>
  <c r="O5" i="5" s="1"/>
  <c r="Q5" i="5" s="1"/>
  <c r="N33" i="5"/>
  <c r="O33" i="5" s="1"/>
  <c r="O37" i="5"/>
  <c r="N54" i="5"/>
  <c r="O30" i="5" s="1"/>
  <c r="Q30" i="5" s="1"/>
  <c r="N105" i="5"/>
  <c r="N109" i="5"/>
  <c r="O109" i="5" s="1"/>
  <c r="O13" i="5"/>
  <c r="Q13" i="5" s="1"/>
  <c r="Q102" i="5"/>
  <c r="R102" i="5" s="1"/>
  <c r="N3" i="5"/>
  <c r="O25" i="5" s="1"/>
  <c r="Q25" i="5" s="1"/>
  <c r="N10" i="5"/>
  <c r="O10" i="5" s="1"/>
  <c r="N24" i="5"/>
  <c r="O24" i="5" s="1"/>
  <c r="N74" i="5"/>
  <c r="O74" i="5" s="1"/>
  <c r="Q74" i="5" s="1"/>
  <c r="N82" i="5"/>
  <c r="O82" i="5" s="1"/>
  <c r="N106" i="5"/>
  <c r="O106" i="5" s="1"/>
  <c r="N8" i="5"/>
  <c r="O8" i="5" s="1"/>
  <c r="N35" i="5"/>
  <c r="O46" i="5"/>
  <c r="Q46" i="5" s="1"/>
  <c r="O65" i="5"/>
  <c r="Q65" i="5" s="1"/>
  <c r="N70" i="5"/>
  <c r="O70" i="5" s="1"/>
  <c r="Q70" i="5" s="1"/>
  <c r="R70" i="5" s="1"/>
  <c r="N78" i="5"/>
  <c r="O78" i="5" s="1"/>
  <c r="O81" i="5"/>
  <c r="Q81" i="5" s="1"/>
  <c r="N89" i="5"/>
  <c r="O89" i="5" s="1"/>
  <c r="O92" i="5"/>
  <c r="Q92" i="5" s="1"/>
  <c r="N76" i="5"/>
  <c r="N103" i="5"/>
  <c r="O103" i="5" s="1"/>
  <c r="O60" i="5"/>
  <c r="Q60" i="5" s="1"/>
  <c r="O95" i="5"/>
  <c r="Q95" i="5" s="1"/>
  <c r="O4" i="5"/>
  <c r="Q4" i="5" s="1"/>
  <c r="O47" i="5"/>
  <c r="Q47" i="5" s="1"/>
  <c r="O58" i="5"/>
  <c r="Q58" i="5" s="1"/>
  <c r="O66" i="5"/>
  <c r="O51" i="5"/>
  <c r="Q51" i="5" s="1"/>
  <c r="N7" i="5"/>
  <c r="O7" i="5" s="1"/>
  <c r="N15" i="5"/>
  <c r="O15" i="5" s="1"/>
  <c r="N50" i="5"/>
  <c r="O50" i="5" s="1"/>
  <c r="N61" i="5"/>
  <c r="O61" i="5" s="1"/>
  <c r="N69" i="5"/>
  <c r="N77" i="5"/>
  <c r="O77" i="5" s="1"/>
  <c r="N88" i="5"/>
  <c r="N96" i="5"/>
  <c r="O96" i="5" s="1"/>
  <c r="O87" i="5"/>
  <c r="Q87" i="5" s="1"/>
  <c r="O42" i="5"/>
  <c r="Q42" i="5" s="1"/>
  <c r="R42" i="5" s="1"/>
  <c r="N53" i="5"/>
  <c r="O53" i="5" s="1"/>
  <c r="N64" i="5"/>
  <c r="O64" i="5" s="1"/>
  <c r="N72" i="5"/>
  <c r="O72" i="5" s="1"/>
  <c r="N80" i="5"/>
  <c r="O80" i="5" s="1"/>
  <c r="N91" i="5"/>
  <c r="O91" i="5" s="1"/>
  <c r="N99" i="5"/>
  <c r="O99" i="5" s="1"/>
  <c r="N107" i="5"/>
  <c r="O107" i="5" s="1"/>
  <c r="Q107" i="5" s="1"/>
  <c r="N110" i="5"/>
  <c r="O110" i="5" s="1"/>
  <c r="O86" i="1"/>
  <c r="Q86" i="1" s="1"/>
  <c r="R86" i="1" s="1"/>
  <c r="O98" i="1"/>
  <c r="Q98" i="1" s="1"/>
  <c r="R98" i="1" s="1"/>
  <c r="O79" i="1"/>
  <c r="Q79" i="1" s="1"/>
  <c r="R79" i="1" s="1"/>
  <c r="O92" i="1"/>
  <c r="Q92" i="1" s="1"/>
  <c r="R92" i="1" s="1"/>
  <c r="O94" i="1"/>
  <c r="Q94" i="1" s="1"/>
  <c r="R94" i="1" s="1"/>
  <c r="O52" i="1"/>
  <c r="Q52" i="1" s="1"/>
  <c r="R52" i="1" s="1"/>
  <c r="O96" i="1"/>
  <c r="Q96" i="1" s="1"/>
  <c r="R96" i="1" s="1"/>
  <c r="O93" i="1"/>
  <c r="Q93" i="1" s="1"/>
  <c r="R93" i="1" s="1"/>
  <c r="O75" i="1"/>
  <c r="Q75" i="1" s="1"/>
  <c r="R75" i="1" s="1"/>
  <c r="O99" i="1"/>
  <c r="Q99" i="1" s="1"/>
  <c r="R99" i="1" s="1"/>
  <c r="O60" i="1"/>
  <c r="Q60" i="1" s="1"/>
  <c r="R60" i="1" s="1"/>
  <c r="O67" i="1"/>
  <c r="Q67" i="1" s="1"/>
  <c r="R67" i="1" s="1"/>
  <c r="O61" i="1"/>
  <c r="Q61" i="1" s="1"/>
  <c r="R61" i="1" s="1"/>
  <c r="O90" i="1"/>
  <c r="Q90" i="1" s="1"/>
  <c r="R90" i="1" s="1"/>
  <c r="O53" i="1"/>
  <c r="Q53" i="1" s="1"/>
  <c r="R53" i="1" s="1"/>
  <c r="O72" i="1"/>
  <c r="Q72" i="1" s="1"/>
  <c r="R72" i="1" s="1"/>
  <c r="O68" i="1"/>
  <c r="Q68" i="1" s="1"/>
  <c r="R68" i="1" s="1"/>
  <c r="O57" i="1"/>
  <c r="Q57" i="1" s="1"/>
  <c r="R57" i="1" s="1"/>
  <c r="O84" i="1"/>
  <c r="Q84" i="1" s="1"/>
  <c r="R84" i="1" s="1"/>
  <c r="O83" i="1"/>
  <c r="Q83" i="1" s="1"/>
  <c r="R83" i="1" s="1"/>
  <c r="O97" i="1"/>
  <c r="Q97" i="1" s="1"/>
  <c r="R97" i="1" s="1"/>
  <c r="O76" i="1"/>
  <c r="Q76" i="1" s="1"/>
  <c r="R76" i="1" s="1"/>
  <c r="O69" i="1"/>
  <c r="Q69" i="1" s="1"/>
  <c r="R69" i="1" s="1"/>
  <c r="O65" i="1"/>
  <c r="Q65" i="1" s="1"/>
  <c r="R65" i="1" s="1"/>
  <c r="N22" i="1"/>
  <c r="O22" i="1" s="1"/>
  <c r="Q22" i="1" s="1"/>
  <c r="R22" i="1" s="1"/>
  <c r="N101" i="1"/>
  <c r="O101" i="1" s="1"/>
  <c r="Q101" i="1" s="1"/>
  <c r="R101" i="1" s="1"/>
  <c r="N80" i="1"/>
  <c r="O80" i="1" s="1"/>
  <c r="Q80" i="1" s="1"/>
  <c r="R80" i="1" s="1"/>
  <c r="N85" i="1"/>
  <c r="O85" i="1" s="1"/>
  <c r="Q85" i="1" s="1"/>
  <c r="R85" i="1" s="1"/>
  <c r="N78" i="1"/>
  <c r="O78" i="1" s="1"/>
  <c r="Q78" i="1" s="1"/>
  <c r="R78" i="1" s="1"/>
  <c r="N77" i="1"/>
  <c r="O77" i="1" s="1"/>
  <c r="Q77" i="1" s="1"/>
  <c r="R77" i="1" s="1"/>
  <c r="N87" i="1"/>
  <c r="O87" i="1" s="1"/>
  <c r="Q87" i="1" s="1"/>
  <c r="R87" i="1" s="1"/>
  <c r="O37" i="1"/>
  <c r="Q37" i="1" s="1"/>
  <c r="R37" i="1" s="1"/>
  <c r="O46" i="1"/>
  <c r="Q46" i="1" s="1"/>
  <c r="R46" i="1" s="1"/>
  <c r="O31" i="1"/>
  <c r="Q31" i="1" s="1"/>
  <c r="R31" i="1" s="1"/>
  <c r="O50" i="1"/>
  <c r="Q50" i="1" s="1"/>
  <c r="R50" i="1" s="1"/>
  <c r="O29" i="1"/>
  <c r="Q29" i="1" s="1"/>
  <c r="R29" i="1" s="1"/>
  <c r="O34" i="1"/>
  <c r="Q34" i="1" s="1"/>
  <c r="R34" i="1" s="1"/>
  <c r="O32" i="1"/>
  <c r="Q32" i="1" s="1"/>
  <c r="R32" i="1" s="1"/>
  <c r="O45" i="1"/>
  <c r="Q45" i="1" s="1"/>
  <c r="R45" i="1" s="1"/>
  <c r="O39" i="1"/>
  <c r="Q39" i="1" s="1"/>
  <c r="R39" i="1" s="1"/>
  <c r="O40" i="1"/>
  <c r="Q40" i="1" s="1"/>
  <c r="R40" i="1" s="1"/>
  <c r="O49" i="1"/>
  <c r="Q49" i="1" s="1"/>
  <c r="R49" i="1" s="1"/>
  <c r="O42" i="1"/>
  <c r="Q42" i="1" s="1"/>
  <c r="R42" i="1" s="1"/>
  <c r="N17" i="1"/>
  <c r="O17" i="1" s="1"/>
  <c r="Q17" i="1" s="1"/>
  <c r="R17" i="1" s="1"/>
  <c r="N55" i="1"/>
  <c r="O55" i="1" s="1"/>
  <c r="Q55" i="1" s="1"/>
  <c r="R55" i="1" s="1"/>
  <c r="N63" i="1"/>
  <c r="O63" i="1" s="1"/>
  <c r="Q63" i="1" s="1"/>
  <c r="R63" i="1" s="1"/>
  <c r="N71" i="1"/>
  <c r="O71" i="1" s="1"/>
  <c r="Q71" i="1" s="1"/>
  <c r="R71" i="1" s="1"/>
  <c r="N70" i="1"/>
  <c r="O70" i="1" s="1"/>
  <c r="Q70" i="1" s="1"/>
  <c r="R70" i="1" s="1"/>
  <c r="N64" i="1"/>
  <c r="O64" i="1" s="1"/>
  <c r="Q64" i="1" s="1"/>
  <c r="R64" i="1" s="1"/>
  <c r="N58" i="1"/>
  <c r="O58" i="1" s="1"/>
  <c r="Q58" i="1" s="1"/>
  <c r="R58" i="1" s="1"/>
  <c r="O12" i="1"/>
  <c r="Q12" i="1" s="1"/>
  <c r="R12" i="1" s="1"/>
  <c r="O20" i="1"/>
  <c r="Q20" i="1" s="1"/>
  <c r="R20" i="1" s="1"/>
  <c r="O5" i="1"/>
  <c r="Q5" i="1" s="1"/>
  <c r="R5" i="1" s="1"/>
  <c r="O10" i="1"/>
  <c r="Q10" i="1" s="1"/>
  <c r="R10" i="1" s="1"/>
  <c r="O11" i="1"/>
  <c r="Q11" i="1" s="1"/>
  <c r="R11" i="1" s="1"/>
  <c r="O21" i="1"/>
  <c r="Q21" i="1" s="1"/>
  <c r="R21" i="1" s="1"/>
  <c r="O2" i="1"/>
  <c r="Q2" i="1" s="1"/>
  <c r="R2" i="1" s="1"/>
  <c r="O4" i="1"/>
  <c r="Q4" i="1" s="1"/>
  <c r="R4" i="1" s="1"/>
  <c r="O23" i="1"/>
  <c r="Q23" i="1" s="1"/>
  <c r="R23" i="1" s="1"/>
  <c r="O19" i="1"/>
  <c r="Q19" i="1" s="1"/>
  <c r="R19" i="1" s="1"/>
  <c r="O91" i="1"/>
  <c r="Q91" i="1" s="1"/>
  <c r="R91" i="1" s="1"/>
  <c r="O95" i="1"/>
  <c r="Q95" i="1" s="1"/>
  <c r="R95" i="1" s="1"/>
  <c r="O88" i="1"/>
  <c r="Q88" i="1" s="1"/>
  <c r="R88" i="1" s="1"/>
  <c r="O100" i="1"/>
  <c r="Q100" i="1" s="1"/>
  <c r="R100" i="1" s="1"/>
  <c r="O89" i="1"/>
  <c r="Q89" i="1" s="1"/>
  <c r="R89" i="1" s="1"/>
  <c r="O81" i="1"/>
  <c r="Q81" i="1" s="1"/>
  <c r="R81" i="1" s="1"/>
  <c r="O82" i="1"/>
  <c r="Q82" i="1" s="1"/>
  <c r="R82" i="1" s="1"/>
  <c r="O74" i="1"/>
  <c r="Q74" i="1" s="1"/>
  <c r="R74" i="1" s="1"/>
  <c r="O73" i="1"/>
  <c r="Q73" i="1" s="1"/>
  <c r="R73" i="1" s="1"/>
  <c r="O66" i="1"/>
  <c r="Q66" i="1" s="1"/>
  <c r="R66" i="1" s="1"/>
  <c r="O54" i="1"/>
  <c r="Q54" i="1" s="1"/>
  <c r="R54" i="1" s="1"/>
  <c r="O62" i="1"/>
  <c r="Q62" i="1" s="1"/>
  <c r="R62" i="1" s="1"/>
  <c r="O56" i="1"/>
  <c r="Q56" i="1" s="1"/>
  <c r="R56" i="1" s="1"/>
  <c r="O59" i="1"/>
  <c r="Q59" i="1" s="1"/>
  <c r="R59" i="1" s="1"/>
  <c r="O51" i="1"/>
  <c r="Q51" i="1" s="1"/>
  <c r="R51" i="1" s="1"/>
  <c r="O36" i="1"/>
  <c r="Q36" i="1" s="1"/>
  <c r="R36" i="1" s="1"/>
  <c r="O35" i="1"/>
  <c r="Q35" i="1" s="1"/>
  <c r="R35" i="1" s="1"/>
  <c r="O33" i="1"/>
  <c r="Q33" i="1" s="1"/>
  <c r="R33" i="1" s="1"/>
  <c r="O27" i="1"/>
  <c r="Q27" i="1" s="1"/>
  <c r="R27" i="1" s="1"/>
  <c r="O44" i="1"/>
  <c r="Q44" i="1" s="1"/>
  <c r="R44" i="1" s="1"/>
  <c r="O48" i="1"/>
  <c r="Q48" i="1" s="1"/>
  <c r="R48" i="1" s="1"/>
  <c r="O28" i="1"/>
  <c r="Q28" i="1" s="1"/>
  <c r="R28" i="1" s="1"/>
  <c r="O47" i="1"/>
  <c r="Q47" i="1" s="1"/>
  <c r="R47" i="1" s="1"/>
  <c r="O38" i="1"/>
  <c r="Q38" i="1" s="1"/>
  <c r="R38" i="1" s="1"/>
  <c r="O41" i="1"/>
  <c r="Q41" i="1" s="1"/>
  <c r="R41" i="1" s="1"/>
  <c r="O43" i="1"/>
  <c r="Q43" i="1" s="1"/>
  <c r="R43" i="1" s="1"/>
  <c r="O30" i="1"/>
  <c r="Q30" i="1" s="1"/>
  <c r="R30" i="1" s="1"/>
  <c r="O15" i="1"/>
  <c r="Q15" i="1" s="1"/>
  <c r="R15" i="1" s="1"/>
  <c r="O26" i="1"/>
  <c r="Q26" i="1" s="1"/>
  <c r="R26" i="1" s="1"/>
  <c r="O8" i="1"/>
  <c r="Q8" i="1" s="1"/>
  <c r="R8" i="1" s="1"/>
  <c r="O6" i="1"/>
  <c r="Q6" i="1" s="1"/>
  <c r="R6" i="1" s="1"/>
  <c r="O13" i="1"/>
  <c r="Q13" i="1" s="1"/>
  <c r="R13" i="1" s="1"/>
  <c r="O18" i="1"/>
  <c r="Q18" i="1" s="1"/>
  <c r="R18" i="1" s="1"/>
  <c r="O3" i="1"/>
  <c r="Q3" i="1" s="1"/>
  <c r="R3" i="1" s="1"/>
  <c r="O14" i="1"/>
  <c r="Q14" i="1" s="1"/>
  <c r="R14" i="1" s="1"/>
  <c r="O7" i="1"/>
  <c r="Q7" i="1" s="1"/>
  <c r="R7" i="1" s="1"/>
  <c r="O24" i="1"/>
  <c r="Q24" i="1" s="1"/>
  <c r="R24" i="1" s="1"/>
  <c r="O25" i="1"/>
  <c r="Q25" i="1" s="1"/>
  <c r="R25" i="1" s="1"/>
  <c r="O16" i="1"/>
  <c r="Q16" i="1" s="1"/>
  <c r="R16" i="1" s="1"/>
  <c r="O9" i="1"/>
  <c r="Q9" i="1" s="1"/>
  <c r="R9" i="1" s="1"/>
  <c r="O16" i="5" l="1"/>
  <c r="Q16" i="5" s="1"/>
  <c r="R16" i="5" s="1"/>
  <c r="O54" i="5"/>
  <c r="Q54" i="5" s="1"/>
  <c r="R54" i="5" s="1"/>
  <c r="O23" i="5"/>
  <c r="Q23" i="5" s="1"/>
  <c r="R23" i="5" s="1"/>
  <c r="O88" i="5"/>
  <c r="Q88" i="5" s="1"/>
  <c r="O3" i="5"/>
  <c r="Q3" i="5" s="1"/>
  <c r="R3" i="5" s="1"/>
  <c r="R107" i="5"/>
  <c r="Q53" i="5"/>
  <c r="R53" i="5" s="1"/>
  <c r="O68" i="5"/>
  <c r="Q68" i="5" s="1"/>
  <c r="Q110" i="5"/>
  <c r="R110" i="5" s="1"/>
  <c r="Q104" i="5"/>
  <c r="R104" i="5" s="1"/>
  <c r="Q89" i="5"/>
  <c r="R89" i="5" s="1"/>
  <c r="Q38" i="5"/>
  <c r="R38" i="5" s="1"/>
  <c r="Q109" i="5"/>
  <c r="R109" i="5" s="1"/>
  <c r="Q101" i="5"/>
  <c r="R101" i="5" s="1"/>
  <c r="O90" i="5"/>
  <c r="Q90" i="5" s="1"/>
  <c r="O63" i="5"/>
  <c r="Q63" i="5" s="1"/>
  <c r="O34" i="5"/>
  <c r="Q34" i="5" s="1"/>
  <c r="O69" i="5"/>
  <c r="Q69" i="5" s="1"/>
  <c r="Q39" i="5"/>
  <c r="R39" i="5" s="1"/>
  <c r="O62" i="5"/>
  <c r="Q62" i="5" s="1"/>
  <c r="R81" i="5"/>
  <c r="O35" i="5"/>
  <c r="Q35" i="5" s="1"/>
  <c r="O105" i="5"/>
  <c r="Q105" i="5" s="1"/>
  <c r="R94" i="5"/>
  <c r="O86" i="5"/>
  <c r="Q86" i="5" s="1"/>
  <c r="Q59" i="5"/>
  <c r="R59" i="5" s="1"/>
  <c r="O100" i="5"/>
  <c r="Q100" i="5" s="1"/>
  <c r="Q24" i="5"/>
  <c r="R24" i="5" s="1"/>
  <c r="Q50" i="5"/>
  <c r="R50" i="5" s="1"/>
  <c r="O31" i="5"/>
  <c r="Q31" i="5" s="1"/>
  <c r="Q78" i="5"/>
  <c r="R78" i="5" s="1"/>
  <c r="Q91" i="5"/>
  <c r="R91" i="5" s="1"/>
  <c r="R87" i="5"/>
  <c r="O20" i="5"/>
  <c r="Q20" i="5" s="1"/>
  <c r="Q103" i="5"/>
  <c r="R103" i="5" s="1"/>
  <c r="O73" i="5"/>
  <c r="Q73" i="5" s="1"/>
  <c r="Q19" i="5"/>
  <c r="R19" i="5" s="1"/>
  <c r="Q10" i="5"/>
  <c r="R10" i="5" s="1"/>
  <c r="Q37" i="5"/>
  <c r="R37" i="5" s="1"/>
  <c r="R45" i="5"/>
  <c r="O18" i="5"/>
  <c r="Q18" i="5" s="1"/>
  <c r="Q80" i="5"/>
  <c r="R80" i="5" s="1"/>
  <c r="Q15" i="5"/>
  <c r="R15" i="5" s="1"/>
  <c r="Q82" i="5"/>
  <c r="R82" i="5" s="1"/>
  <c r="O76" i="5"/>
  <c r="Q76" i="5" s="1"/>
  <c r="R76" i="5" s="1"/>
  <c r="R11" i="5"/>
  <c r="O6" i="5"/>
  <c r="Q6" i="5" s="1"/>
  <c r="Q33" i="5"/>
  <c r="R33" i="5" s="1"/>
  <c r="O52" i="5"/>
  <c r="Q52" i="5" s="1"/>
  <c r="Q26" i="5"/>
  <c r="R26" i="5" s="1"/>
  <c r="O79" i="5"/>
  <c r="Q79" i="5" s="1"/>
  <c r="R74" i="5"/>
  <c r="R4" i="5"/>
  <c r="Q108" i="5"/>
  <c r="R108" i="5" s="1"/>
  <c r="Q8" i="5"/>
  <c r="R8" i="5" s="1"/>
  <c r="Q41" i="5"/>
  <c r="R41" i="5" s="1"/>
  <c r="Q22" i="5"/>
  <c r="R22" i="5" s="1"/>
  <c r="Q75" i="5"/>
  <c r="R75" i="5" s="1"/>
  <c r="O48" i="5"/>
  <c r="Q48" i="5" s="1"/>
  <c r="Q64" i="5"/>
  <c r="R64" i="5" s="1"/>
  <c r="Q66" i="5"/>
  <c r="R66" i="5" s="1"/>
  <c r="Q71" i="5"/>
  <c r="R71" i="5" s="1"/>
  <c r="Q72" i="5"/>
  <c r="R72" i="5" s="1"/>
  <c r="R58" i="5"/>
  <c r="R46" i="5"/>
  <c r="O97" i="5"/>
  <c r="Q97" i="5" s="1"/>
  <c r="O21" i="5"/>
  <c r="Q21" i="5" s="1"/>
  <c r="Q111" i="5" l="1"/>
  <c r="R48" i="5"/>
  <c r="Q36" i="5"/>
  <c r="R36" i="5" s="1"/>
  <c r="R105" i="5"/>
  <c r="R95" i="5"/>
  <c r="R63" i="5"/>
  <c r="R2" i="5"/>
  <c r="R25" i="5"/>
  <c r="R31" i="5"/>
  <c r="Q61" i="5"/>
  <c r="R62" i="5"/>
  <c r="Q106" i="5"/>
  <c r="R106" i="5" s="1"/>
  <c r="R88" i="5"/>
  <c r="R18" i="5"/>
  <c r="R20" i="5"/>
  <c r="Q99" i="5"/>
  <c r="R99" i="5" s="1"/>
  <c r="Q96" i="5"/>
  <c r="R96" i="5" s="1"/>
  <c r="R92" i="5"/>
  <c r="R12" i="5"/>
  <c r="Q77" i="5"/>
  <c r="R77" i="5" s="1"/>
  <c r="Q67" i="5"/>
  <c r="R67" i="5" s="1"/>
  <c r="R65" i="5"/>
  <c r="R6" i="5"/>
  <c r="R93" i="5"/>
  <c r="R51" i="5"/>
  <c r="R69" i="5"/>
  <c r="R68" i="5"/>
  <c r="R5" i="5"/>
  <c r="R47" i="5"/>
  <c r="R79" i="5"/>
  <c r="Q49" i="5"/>
  <c r="R49" i="5" s="1"/>
  <c r="R9" i="5"/>
  <c r="R13" i="5"/>
  <c r="Q32" i="5"/>
  <c r="R32" i="5" s="1"/>
  <c r="Q7" i="5"/>
  <c r="R86" i="5"/>
  <c r="R34" i="5"/>
  <c r="R60" i="5"/>
  <c r="R43" i="5"/>
  <c r="R30" i="5"/>
  <c r="Q55" i="5" l="1"/>
  <c r="R7" i="5"/>
  <c r="Q27" i="5"/>
  <c r="R61" i="5"/>
  <c r="Q83" i="5"/>
  <c r="Q56" i="5"/>
  <c r="Q84" i="5"/>
  <c r="Q28" i="5"/>
  <c r="Q112" i="5"/>
  <c r="Q85" i="5"/>
  <c r="Q29" i="5"/>
  <c r="Q113" i="5"/>
  <c r="Q57" i="5"/>
  <c r="R73" i="5"/>
  <c r="R21" i="5"/>
  <c r="R35" i="5"/>
  <c r="R100" i="5"/>
  <c r="R90" i="5"/>
  <c r="R97" i="5"/>
  <c r="R52" i="5"/>
  <c r="Q115" i="5" l="1"/>
  <c r="Q116" i="5"/>
  <c r="Q114" i="5"/>
</calcChain>
</file>

<file path=xl/sharedStrings.xml><?xml version="1.0" encoding="utf-8"?>
<sst xmlns="http://schemas.openxmlformats.org/spreadsheetml/2006/main" count="2868" uniqueCount="490">
  <si>
    <t>Order_ID</t>
  </si>
  <si>
    <t>Order_Date</t>
  </si>
  <si>
    <t>Customer_Name</t>
  </si>
  <si>
    <t>Customer_Email</t>
  </si>
  <si>
    <t>Region</t>
  </si>
  <si>
    <t>City</t>
  </si>
  <si>
    <t>Product_Category</t>
  </si>
  <si>
    <t>Product_Name</t>
  </si>
  <si>
    <t>Quantity</t>
  </si>
  <si>
    <t>Unit_Price</t>
  </si>
  <si>
    <t>Discount_Percent</t>
  </si>
  <si>
    <t>Shipping_Cost</t>
  </si>
  <si>
    <t>Payment_Method</t>
  </si>
  <si>
    <t>Order_Status</t>
  </si>
  <si>
    <t>ORD-1001</t>
  </si>
  <si>
    <t>John Smith</t>
  </si>
  <si>
    <t>john.smith@email.com</t>
  </si>
  <si>
    <t>North</t>
  </si>
  <si>
    <t>New York</t>
  </si>
  <si>
    <t>Electronics</t>
  </si>
  <si>
    <t>Wireless Mouse</t>
  </si>
  <si>
    <t>Credit Card</t>
  </si>
  <si>
    <t>Delivered</t>
  </si>
  <si>
    <t>ORD-1002</t>
  </si>
  <si>
    <t>Sarah Johnson</t>
  </si>
  <si>
    <t>sarah.j@email.com</t>
  </si>
  <si>
    <t>South</t>
  </si>
  <si>
    <t>Miami</t>
  </si>
  <si>
    <t>Home &amp; Garden</t>
  </si>
  <si>
    <t>Plant Pot Set</t>
  </si>
  <si>
    <t>PayPal</t>
  </si>
  <si>
    <t>ORD-1003</t>
  </si>
  <si>
    <t>Michael Brown</t>
  </si>
  <si>
    <t>m.brown@email.com</t>
  </si>
  <si>
    <t>East</t>
  </si>
  <si>
    <t>Boston</t>
  </si>
  <si>
    <t>USB Cable</t>
  </si>
  <si>
    <t>ORD-1004</t>
  </si>
  <si>
    <t>Emily Davis</t>
  </si>
  <si>
    <t>emily.d@email.com</t>
  </si>
  <si>
    <t>West</t>
  </si>
  <si>
    <t>Los Angeles</t>
  </si>
  <si>
    <t>Clothing</t>
  </si>
  <si>
    <t>Cotton T-Shirt</t>
  </si>
  <si>
    <t>Debit Card</t>
  </si>
  <si>
    <t>ORD-1005</t>
  </si>
  <si>
    <t>David Wilson</t>
  </si>
  <si>
    <t>d.wilson@email.com</t>
  </si>
  <si>
    <t>Chicago</t>
  </si>
  <si>
    <t>Keyboard</t>
  </si>
  <si>
    <t>ORD-1006</t>
  </si>
  <si>
    <t>Lisa Anderson</t>
  </si>
  <si>
    <t>lisa.a@email.com</t>
  </si>
  <si>
    <t>Houston</t>
  </si>
  <si>
    <t>Garden Tools</t>
  </si>
  <si>
    <t>ORD-1007</t>
  </si>
  <si>
    <t>James Martinez</t>
  </si>
  <si>
    <t>james.m@email.com</t>
  </si>
  <si>
    <t>Philadelphia</t>
  </si>
  <si>
    <t>Books</t>
  </si>
  <si>
    <t>Programming Guide</t>
  </si>
  <si>
    <t>Cancelled</t>
  </si>
  <si>
    <t>ORD-1008</t>
  </si>
  <si>
    <t>Patricia Taylor</t>
  </si>
  <si>
    <t>patricia.t@email.com</t>
  </si>
  <si>
    <t>San Francisco</t>
  </si>
  <si>
    <t>Denim Jeans</t>
  </si>
  <si>
    <t>ORD-1009</t>
  </si>
  <si>
    <t>Robert Thomas</t>
  </si>
  <si>
    <t>robert.t@email.com</t>
  </si>
  <si>
    <t>Detroit</t>
  </si>
  <si>
    <t>Webcam</t>
  </si>
  <si>
    <t>Processing</t>
  </si>
  <si>
    <t>ORD-1010</t>
  </si>
  <si>
    <t>Jennifer Lee</t>
  </si>
  <si>
    <t>jennifer.l@email.com</t>
  </si>
  <si>
    <t>Atlanta</t>
  </si>
  <si>
    <t>Business Strategy</t>
  </si>
  <si>
    <t>ORD-1011</t>
  </si>
  <si>
    <t>William White</t>
  </si>
  <si>
    <t>william.w@email.com</t>
  </si>
  <si>
    <t>Laptop Stand</t>
  </si>
  <si>
    <t>ORD-1012</t>
  </si>
  <si>
    <t>Mary Harris</t>
  </si>
  <si>
    <t>mary.h@email.com</t>
  </si>
  <si>
    <t>Seattle</t>
  </si>
  <si>
    <t>Decorative Vase</t>
  </si>
  <si>
    <t>ORD-1013</t>
  </si>
  <si>
    <t>Christopher Clark</t>
  </si>
  <si>
    <t>chris.c@email.com</t>
  </si>
  <si>
    <t>Minneapolis</t>
  </si>
  <si>
    <t>Winter Jacket</t>
  </si>
  <si>
    <t>ORD-1014</t>
  </si>
  <si>
    <t>Jessica Lewis</t>
  </si>
  <si>
    <t>jessica.l@email.com</t>
  </si>
  <si>
    <t>Dallas</t>
  </si>
  <si>
    <t>Headphones</t>
  </si>
  <si>
    <t>ORD-1015</t>
  </si>
  <si>
    <t>Daniel Walker</t>
  </si>
  <si>
    <t>daniel.w@email.com</t>
  </si>
  <si>
    <t>Data Science</t>
  </si>
  <si>
    <t>ORD-1016</t>
  </si>
  <si>
    <t>Nancy Hall</t>
  </si>
  <si>
    <t>nancy.h@email.com</t>
  </si>
  <si>
    <t>Portland</t>
  </si>
  <si>
    <t>LED Lamp</t>
  </si>
  <si>
    <t>ORD-1017</t>
  </si>
  <si>
    <t>Matthew Allen</t>
  </si>
  <si>
    <t>matt.a@email.com</t>
  </si>
  <si>
    <t>Monitor</t>
  </si>
  <si>
    <t>ORD-1018</t>
  </si>
  <si>
    <t>Karen Young</t>
  </si>
  <si>
    <t>karen.y@email.com</t>
  </si>
  <si>
    <t>Summer Dress</t>
  </si>
  <si>
    <t>ORD-1019</t>
  </si>
  <si>
    <t>Steven King</t>
  </si>
  <si>
    <t>steven.k@email.com</t>
  </si>
  <si>
    <t>Marketing 101</t>
  </si>
  <si>
    <t>ORD-1020</t>
  </si>
  <si>
    <t>Betty Wright</t>
  </si>
  <si>
    <t>betty.w@email.com</t>
  </si>
  <si>
    <t>San Diego</t>
  </si>
  <si>
    <t>Mouse Pad</t>
  </si>
  <si>
    <t>ORD-1021</t>
  </si>
  <si>
    <t>Joseph Lopez</t>
  </si>
  <si>
    <t>joseph.l@email.com</t>
  </si>
  <si>
    <t>Wall Clock</t>
  </si>
  <si>
    <t>ORD-1022</t>
  </si>
  <si>
    <t>Sandra Hill</t>
  </si>
  <si>
    <t>sandra.h@email.com</t>
  </si>
  <si>
    <t>Sports Shoes</t>
  </si>
  <si>
    <t>ORD-1023</t>
  </si>
  <si>
    <t>Kevin Scott</t>
  </si>
  <si>
    <t>kevin.s@email.com</t>
  </si>
  <si>
    <t>Smart Watch</t>
  </si>
  <si>
    <t>ORD-1024</t>
  </si>
  <si>
    <t>Donna Green</t>
  </si>
  <si>
    <t>donna.g@email.com</t>
  </si>
  <si>
    <t>Self Help</t>
  </si>
  <si>
    <t>ORD-1025</t>
  </si>
  <si>
    <t>Paul Adams</t>
  </si>
  <si>
    <t>paul.a@email.com</t>
  </si>
  <si>
    <t>Cushion Set</t>
  </si>
  <si>
    <t>ORD-1026</t>
  </si>
  <si>
    <t>Carol Baker</t>
  </si>
  <si>
    <t>carol.b@email.com</t>
  </si>
  <si>
    <t>Phone Case</t>
  </si>
  <si>
    <t>ORD-1027</t>
  </si>
  <si>
    <t>Mark Nelson</t>
  </si>
  <si>
    <t>mark.n@email.com</t>
  </si>
  <si>
    <t>Polo Shirt</t>
  </si>
  <si>
    <t>ORD-1028</t>
  </si>
  <si>
    <t>Ruth Carter</t>
  </si>
  <si>
    <t>ruth.c@email.com</t>
  </si>
  <si>
    <t>Fiction Novel</t>
  </si>
  <si>
    <t>ORD-1029</t>
  </si>
  <si>
    <t>George Mitchell</t>
  </si>
  <si>
    <t>george.m@email.com</t>
  </si>
  <si>
    <t>External Hard Drive</t>
  </si>
  <si>
    <t>ORD-1030</t>
  </si>
  <si>
    <t>Sharon Perez</t>
  </si>
  <si>
    <t>sharon.p@email.com</t>
  </si>
  <si>
    <t>Picture Frame</t>
  </si>
  <si>
    <t>ORD-1031</t>
  </si>
  <si>
    <t>Brian Roberts</t>
  </si>
  <si>
    <t>brian.r@email.com</t>
  </si>
  <si>
    <t>Baseball Cap</t>
  </si>
  <si>
    <t>ORD-1032</t>
  </si>
  <si>
    <t>Dorothy Turner</t>
  </si>
  <si>
    <t>dorothy.t@email.com</t>
  </si>
  <si>
    <t>Bluetooth Speaker</t>
  </si>
  <si>
    <t>ORD-1033</t>
  </si>
  <si>
    <t>Jason Phillips</t>
  </si>
  <si>
    <t>jason.p@email.com</t>
  </si>
  <si>
    <t>History Book</t>
  </si>
  <si>
    <t>ORD-1034</t>
  </si>
  <si>
    <t>Michelle Campbell</t>
  </si>
  <si>
    <t>michelle.c@email.com</t>
  </si>
  <si>
    <t>Throw Blanket</t>
  </si>
  <si>
    <t>ORD-1035</t>
  </si>
  <si>
    <t>Ryan Parker</t>
  </si>
  <si>
    <t>ryan.p@email.com</t>
  </si>
  <si>
    <t>Gaming Mouse</t>
  </si>
  <si>
    <t>ORD-1036</t>
  </si>
  <si>
    <t>Laura Evans</t>
  </si>
  <si>
    <t>laura.e@email.com</t>
  </si>
  <si>
    <t>Hoodie</t>
  </si>
  <si>
    <t>ORD-1037</t>
  </si>
  <si>
    <t>Justin Edwards</t>
  </si>
  <si>
    <t>justin.e@email.com</t>
  </si>
  <si>
    <t>Cookbook</t>
  </si>
  <si>
    <t>ORD-1038</t>
  </si>
  <si>
    <t>Amanda Collins</t>
  </si>
  <si>
    <t>amanda.c@email.com</t>
  </si>
  <si>
    <t>Tablet Stand</t>
  </si>
  <si>
    <t>ORD-1039</t>
  </si>
  <si>
    <t>Brandon Stewart</t>
  </si>
  <si>
    <t>brandon.s@email.com</t>
  </si>
  <si>
    <t>Candle Set</t>
  </si>
  <si>
    <t>ORD-1040</t>
  </si>
  <si>
    <t>Stephanie Morris</t>
  </si>
  <si>
    <t>stephanie.m@email.com</t>
  </si>
  <si>
    <t>Yoga Pants</t>
  </si>
  <si>
    <t>ORD-1041</t>
  </si>
  <si>
    <t>Eric Rogers</t>
  </si>
  <si>
    <t>eric.r@email.com</t>
  </si>
  <si>
    <t>Power Bank</t>
  </si>
  <si>
    <t>ORD-1042</t>
  </si>
  <si>
    <t>Rebecca Reed</t>
  </si>
  <si>
    <t>rebecca.r@email.com</t>
  </si>
  <si>
    <t>Biography</t>
  </si>
  <si>
    <t>ORD-1043</t>
  </si>
  <si>
    <t>Gary Cook</t>
  </si>
  <si>
    <t>gary.c@email.com</t>
  </si>
  <si>
    <t>Storage Box</t>
  </si>
  <si>
    <t>ORD-1044</t>
  </si>
  <si>
    <t>Virginia Morgan</t>
  </si>
  <si>
    <t>virginia.m@email.com</t>
  </si>
  <si>
    <t>Wireless Charger</t>
  </si>
  <si>
    <t>ORD-1045</t>
  </si>
  <si>
    <t>Nicholas Bell</t>
  </si>
  <si>
    <t>nicholas.b@email.com</t>
  </si>
  <si>
    <t>Sweatshirt</t>
  </si>
  <si>
    <t>ORD-1046</t>
  </si>
  <si>
    <t>Deborah Murphy</t>
  </si>
  <si>
    <t>deborah.m@email.com</t>
  </si>
  <si>
    <t>Travel Guide</t>
  </si>
  <si>
    <t>ORD-1047</t>
  </si>
  <si>
    <t>Scott Bailey</t>
  </si>
  <si>
    <t>scott.b@email.com</t>
  </si>
  <si>
    <t>USB Hub</t>
  </si>
  <si>
    <t>ORD-1048</t>
  </si>
  <si>
    <t>Catherine Rivera</t>
  </si>
  <si>
    <t>catherine.r@email.com</t>
  </si>
  <si>
    <t>Serving Tray</t>
  </si>
  <si>
    <t>ORD-1049</t>
  </si>
  <si>
    <t>Gregory Cooper</t>
  </si>
  <si>
    <t>gregory.c@email.com</t>
  </si>
  <si>
    <t>Track Pants</t>
  </si>
  <si>
    <t>ORD-1050</t>
  </si>
  <si>
    <t>Helen Richardson</t>
  </si>
  <si>
    <t>helen.r@email.com</t>
  </si>
  <si>
    <t>Desk Lamp</t>
  </si>
  <si>
    <t>ORD-1051</t>
  </si>
  <si>
    <t>Frank Cox</t>
  </si>
  <si>
    <t>frank.c@email.com</t>
  </si>
  <si>
    <t>Science Fiction</t>
  </si>
  <si>
    <t>ORD-1052</t>
  </si>
  <si>
    <t>Angela Howard</t>
  </si>
  <si>
    <t>angela.h@email.com</t>
  </si>
  <si>
    <t>Wall Art</t>
  </si>
  <si>
    <t>ORD-1053</t>
  </si>
  <si>
    <t>Jonathan Ward</t>
  </si>
  <si>
    <t>jonathan.w@email.com</t>
  </si>
  <si>
    <t>Screen Protector</t>
  </si>
  <si>
    <t>ORD-1054</t>
  </si>
  <si>
    <t>Barbara Torres</t>
  </si>
  <si>
    <t>barbara.t@email.com</t>
  </si>
  <si>
    <t>Formal Shirt</t>
  </si>
  <si>
    <t>ORD-1055</t>
  </si>
  <si>
    <t>Raymond Peterson</t>
  </si>
  <si>
    <t>raymond.p@email.com</t>
  </si>
  <si>
    <t>Mystery Novel</t>
  </si>
  <si>
    <t>ORD-1056</t>
  </si>
  <si>
    <t>Kathleen Gray</t>
  </si>
  <si>
    <t>kathleen.g@email.com</t>
  </si>
  <si>
    <t>Camera Lens</t>
  </si>
  <si>
    <t>ORD-1057</t>
  </si>
  <si>
    <t>Dennis Ramirez</t>
  </si>
  <si>
    <t>dennis.r@email.com</t>
  </si>
  <si>
    <t>Floor Mat</t>
  </si>
  <si>
    <t>ORD-1058</t>
  </si>
  <si>
    <t>Lisa James</t>
  </si>
  <si>
    <t>lisa.james@email.com</t>
  </si>
  <si>
    <t>Cardigan</t>
  </si>
  <si>
    <t>ORD-1059</t>
  </si>
  <si>
    <t>Jerry Watson</t>
  </si>
  <si>
    <t>jerry.w@email.com</t>
  </si>
  <si>
    <t>Stylus Pen</t>
  </si>
  <si>
    <t>ORD-1060</t>
  </si>
  <si>
    <t>Janet Brooks</t>
  </si>
  <si>
    <t>janet.b@email.com</t>
  </si>
  <si>
    <t>Art Book</t>
  </si>
  <si>
    <t>ORD-1061</t>
  </si>
  <si>
    <t>Walter Kelly</t>
  </si>
  <si>
    <t>walter.k@email.com</t>
  </si>
  <si>
    <t>Coat Rack</t>
  </si>
  <si>
    <t>ORD-1062</t>
  </si>
  <si>
    <t>Teresa Sanders</t>
  </si>
  <si>
    <t>teresa.s@email.com</t>
  </si>
  <si>
    <t>Phone Holder</t>
  </si>
  <si>
    <t>ORD-1063</t>
  </si>
  <si>
    <t>Harold Price</t>
  </si>
  <si>
    <t>harold.p@email.com</t>
  </si>
  <si>
    <t>Running Shorts</t>
  </si>
  <si>
    <t>ORD-1064</t>
  </si>
  <si>
    <t>Gloria Bennett</t>
  </si>
  <si>
    <t>gloria.b@email.com</t>
  </si>
  <si>
    <t>Psychology</t>
  </si>
  <si>
    <t>ORD-1065</t>
  </si>
  <si>
    <t>Gerald Wood</t>
  </si>
  <si>
    <t>gerald.w@email.com</t>
  </si>
  <si>
    <t>Cable Organizer</t>
  </si>
  <si>
    <t>ORD-1066</t>
  </si>
  <si>
    <t>Judith Barnes</t>
  </si>
  <si>
    <t>judith.b@email.com</t>
  </si>
  <si>
    <t>Napkin Holder</t>
  </si>
  <si>
    <t>ORD-1067</t>
  </si>
  <si>
    <t>Larry Ross</t>
  </si>
  <si>
    <t>larry.r@email.com</t>
  </si>
  <si>
    <t>Scarf</t>
  </si>
  <si>
    <t>ORD-1068</t>
  </si>
  <si>
    <t>Rose Henderson</t>
  </si>
  <si>
    <t>rose.h@email.com</t>
  </si>
  <si>
    <t>Laptop Bag</t>
  </si>
  <si>
    <t>ORD-1069</t>
  </si>
  <si>
    <t>Roger Coleman</t>
  </si>
  <si>
    <t>roger.c@email.com</t>
  </si>
  <si>
    <t>Philosophy</t>
  </si>
  <si>
    <t>ORD-1070</t>
  </si>
  <si>
    <t>Mildred Jenkins</t>
  </si>
  <si>
    <t>mildred.j@email.com</t>
  </si>
  <si>
    <t>Dish Set</t>
  </si>
  <si>
    <t>ORD-1071</t>
  </si>
  <si>
    <t>Albert Perry</t>
  </si>
  <si>
    <t>albert.p@email.com</t>
  </si>
  <si>
    <t>Smart Plug</t>
  </si>
  <si>
    <t>ORD-1072</t>
  </si>
  <si>
    <t>Julia Powell</t>
  </si>
  <si>
    <t>julia.p@email.com</t>
  </si>
  <si>
    <t>Leather Belt</t>
  </si>
  <si>
    <t>ORD-1073</t>
  </si>
  <si>
    <t>Arthur Long</t>
  </si>
  <si>
    <t>arthur.l@email.com</t>
  </si>
  <si>
    <t>Poetry</t>
  </si>
  <si>
    <t>ORD-1074</t>
  </si>
  <si>
    <t>Frances Patterson</t>
  </si>
  <si>
    <t>frances.p@email.com</t>
  </si>
  <si>
    <t>Ring Light</t>
  </si>
  <si>
    <t>ORD-1075</t>
  </si>
  <si>
    <t>Roy Hughes</t>
  </si>
  <si>
    <t>roy.h@email.com</t>
  </si>
  <si>
    <t>Trash Can</t>
  </si>
  <si>
    <t>ORD-1076</t>
  </si>
  <si>
    <t>Janice Flores</t>
  </si>
  <si>
    <t>janice.f@email.com</t>
  </si>
  <si>
    <t>Beach Hat</t>
  </si>
  <si>
    <t>ORD-1077</t>
  </si>
  <si>
    <t>Louis Washington</t>
  </si>
  <si>
    <t>louis.w@email.com</t>
  </si>
  <si>
    <t>Car Charger</t>
  </si>
  <si>
    <t>ORD-1078</t>
  </si>
  <si>
    <t>Evelyn Butler</t>
  </si>
  <si>
    <t>evelyn.b@email.com</t>
  </si>
  <si>
    <t>Memoir</t>
  </si>
  <si>
    <t>ORD-1079</t>
  </si>
  <si>
    <t>Eugene Simmons</t>
  </si>
  <si>
    <t>eugene.s@email.com</t>
  </si>
  <si>
    <t>Cutting Board</t>
  </si>
  <si>
    <t>ORD-1080</t>
  </si>
  <si>
    <t>Joyce Foster</t>
  </si>
  <si>
    <t>joyce.f@email.com</t>
  </si>
  <si>
    <t>Fitness Tracker</t>
  </si>
  <si>
    <t>ORD-1081</t>
  </si>
  <si>
    <t>Russell Gonzales</t>
  </si>
  <si>
    <t>russell.g@email.com</t>
  </si>
  <si>
    <t>Gloves</t>
  </si>
  <si>
    <t>ORD-1082</t>
  </si>
  <si>
    <t>Cheryl Bryant</t>
  </si>
  <si>
    <t>cheryl.b@email.com</t>
  </si>
  <si>
    <t>Graphic Novel</t>
  </si>
  <si>
    <t>ORD-1083</t>
  </si>
  <si>
    <t>Ralph Alexander</t>
  </si>
  <si>
    <t>ralph.a@email.com</t>
  </si>
  <si>
    <t>Microphone</t>
  </si>
  <si>
    <t>ORD-1084</t>
  </si>
  <si>
    <t>Joan Russell</t>
  </si>
  <si>
    <t>joan.r@email.com</t>
  </si>
  <si>
    <t>Planter</t>
  </si>
  <si>
    <t>ORD-1085</t>
  </si>
  <si>
    <t>Randy Griffin</t>
  </si>
  <si>
    <t>randy.g@email.com</t>
  </si>
  <si>
    <t>Socks Pack</t>
  </si>
  <si>
    <t>ORD-1086</t>
  </si>
  <si>
    <t>Kathryn Diaz</t>
  </si>
  <si>
    <t>kathryn.d@email.com</t>
  </si>
  <si>
    <t>Smart Light</t>
  </si>
  <si>
    <t>ORD-1087</t>
  </si>
  <si>
    <t>Philip Hayes</t>
  </si>
  <si>
    <t>philip.h@email.com</t>
  </si>
  <si>
    <t>Romance</t>
  </si>
  <si>
    <t>ORD-1088</t>
  </si>
  <si>
    <t>Shirley Myers</t>
  </si>
  <si>
    <t>shirley.m@email.com</t>
  </si>
  <si>
    <t>Utensil Set</t>
  </si>
  <si>
    <t>ORD-1089</t>
  </si>
  <si>
    <t>Jack Ford</t>
  </si>
  <si>
    <t>jack.f@email.com</t>
  </si>
  <si>
    <t>VR Headset</t>
  </si>
  <si>
    <t>ORD-1090</t>
  </si>
  <si>
    <t>Ann Hamilton</t>
  </si>
  <si>
    <t>ann.h@email.com</t>
  </si>
  <si>
    <t>Wallet</t>
  </si>
  <si>
    <t>ORD-1091</t>
  </si>
  <si>
    <t>Carl Graham</t>
  </si>
  <si>
    <t>carl.g@email.com</t>
  </si>
  <si>
    <t>Horror</t>
  </si>
  <si>
    <t>ORD-1092</t>
  </si>
  <si>
    <t>Martha Sullivan</t>
  </si>
  <si>
    <t>martha.s@email.com</t>
  </si>
  <si>
    <t>Smart Doorbell</t>
  </si>
  <si>
    <t>ORD-1093</t>
  </si>
  <si>
    <t>Henry Wallace</t>
  </si>
  <si>
    <t>henry.w@email.com</t>
  </si>
  <si>
    <t>Key Holder</t>
  </si>
  <si>
    <t>ORD-1094</t>
  </si>
  <si>
    <t>Diana Woods</t>
  </si>
  <si>
    <t>diana.w@email.com</t>
  </si>
  <si>
    <t>Sunglasses</t>
  </si>
  <si>
    <t>ORD-1095</t>
  </si>
  <si>
    <t>Peter West</t>
  </si>
  <si>
    <t>peter.w@email.com</t>
  </si>
  <si>
    <t>Drone</t>
  </si>
  <si>
    <t>ORD-1096</t>
  </si>
  <si>
    <t>Alice Cole</t>
  </si>
  <si>
    <t>alice.c@email.com</t>
  </si>
  <si>
    <t>Children's Book</t>
  </si>
  <si>
    <t>ORD-1097</t>
  </si>
  <si>
    <t>Joe Newman</t>
  </si>
  <si>
    <t>joe.n@email.com</t>
  </si>
  <si>
    <t>Mirror</t>
  </si>
  <si>
    <t>ORD-1098</t>
  </si>
  <si>
    <t>Frances Hunter</t>
  </si>
  <si>
    <t>frances.h@email.com</t>
  </si>
  <si>
    <t>Action Camera</t>
  </si>
  <si>
    <t>ORD-1099</t>
  </si>
  <si>
    <t>Willie Berry</t>
  </si>
  <si>
    <t>willie.b@email.com</t>
  </si>
  <si>
    <t>Winter Boots</t>
  </si>
  <si>
    <t>ORD-1100</t>
  </si>
  <si>
    <t>Norma Jordan</t>
  </si>
  <si>
    <t>norma.j@email.com</t>
  </si>
  <si>
    <t>Educational</t>
  </si>
  <si>
    <t>Regions</t>
  </si>
  <si>
    <t>Subtotal</t>
  </si>
  <si>
    <t>Discount_Amount</t>
  </si>
  <si>
    <t>Net_Amount</t>
  </si>
  <si>
    <t>Total Order Value</t>
  </si>
  <si>
    <t>Month</t>
  </si>
  <si>
    <t>Revenue Category</t>
  </si>
  <si>
    <t>Grand Total</t>
  </si>
  <si>
    <t>North Total</t>
  </si>
  <si>
    <t>South Total</t>
  </si>
  <si>
    <t>East Total</t>
  </si>
  <si>
    <t>West Total</t>
  </si>
  <si>
    <t>North Average</t>
  </si>
  <si>
    <t>South Average</t>
  </si>
  <si>
    <t>East Average</t>
  </si>
  <si>
    <t>West Average</t>
  </si>
  <si>
    <t>Grand Average</t>
  </si>
  <si>
    <t>North Count</t>
  </si>
  <si>
    <t>South Count</t>
  </si>
  <si>
    <t>East Count</t>
  </si>
  <si>
    <t>West Count</t>
  </si>
  <si>
    <t>Grand Count</t>
  </si>
  <si>
    <t>Product Trends</t>
  </si>
  <si>
    <t>January</t>
  </si>
  <si>
    <t>February</t>
  </si>
  <si>
    <t>March</t>
  </si>
  <si>
    <t>April</t>
  </si>
  <si>
    <t>May</t>
  </si>
  <si>
    <t>June</t>
  </si>
  <si>
    <t>July</t>
  </si>
  <si>
    <t>August</t>
  </si>
  <si>
    <t>September</t>
  </si>
  <si>
    <t>Trend</t>
  </si>
  <si>
    <t>Total</t>
  </si>
  <si>
    <t>Column Labels</t>
  </si>
  <si>
    <t>Row Labels</t>
  </si>
  <si>
    <t>Sum of Total Order Value</t>
  </si>
  <si>
    <t>Total Sum of Total Order Value</t>
  </si>
  <si>
    <t>Total Count of Order_ID</t>
  </si>
  <si>
    <t>Count of Order_ID</t>
  </si>
  <si>
    <t>High Value</t>
  </si>
  <si>
    <t>Low Value</t>
  </si>
  <si>
    <t>Medium Value</t>
  </si>
  <si>
    <t>% of Column Total</t>
  </si>
  <si>
    <t>Count of Customer_Name</t>
  </si>
  <si>
    <t>Total Count of Customer_Name</t>
  </si>
  <si>
    <t>E-Commerce Sales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</si>
</sst>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28"/>
      <color theme="0" tint="-4.9989318521683403E-2"/>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3"/>
        <bgColor theme="5" tint="0.59999389629810485"/>
      </patternFill>
    </fill>
    <fill>
      <patternFill patternType="solid">
        <fgColor theme="3"/>
        <bgColor theme="5" tint="0.79998168889431442"/>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5" tint="-0.249977111117893"/>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14" fontId="0" fillId="0" borderId="0" xfId="0" applyNumberFormat="1"/>
    <xf numFmtId="0" fontId="0" fillId="34" borderId="10" xfId="0" applyFill="1" applyBorder="1"/>
    <xf numFmtId="0" fontId="13" fillId="33" borderId="0" xfId="0" applyFont="1" applyFill="1"/>
    <xf numFmtId="0" fontId="13" fillId="33" borderId="11" xfId="0" applyFont="1" applyFill="1" applyBorder="1"/>
    <xf numFmtId="0" fontId="0" fillId="35" borderId="12" xfId="0" applyFill="1" applyBorder="1"/>
    <xf numFmtId="14" fontId="0" fillId="35" borderId="13" xfId="0" applyNumberFormat="1" applyFill="1" applyBorder="1"/>
    <xf numFmtId="0" fontId="0" fillId="35" borderId="13" xfId="0" applyFill="1" applyBorder="1"/>
    <xf numFmtId="0" fontId="0" fillId="34" borderId="14" xfId="0" applyFill="1" applyBorder="1"/>
    <xf numFmtId="14" fontId="0" fillId="34" borderId="10" xfId="0" applyNumberFormat="1" applyFill="1" applyBorder="1"/>
    <xf numFmtId="0" fontId="0" fillId="35" borderId="14" xfId="0" applyFill="1" applyBorder="1"/>
    <xf numFmtId="14" fontId="0" fillId="35" borderId="10" xfId="0" applyNumberFormat="1" applyFill="1" applyBorder="1"/>
    <xf numFmtId="0" fontId="0" fillId="35" borderId="10" xfId="0" applyFill="1" applyBorder="1"/>
    <xf numFmtId="0" fontId="17" fillId="0" borderId="0" xfId="0" applyFont="1"/>
    <xf numFmtId="0" fontId="17" fillId="36" borderId="14" xfId="0" applyFont="1" applyFill="1" applyBorder="1"/>
    <xf numFmtId="14" fontId="17" fillId="36" borderId="10" xfId="0" applyNumberFormat="1" applyFont="1" applyFill="1" applyBorder="1"/>
    <xf numFmtId="0" fontId="17" fillId="36" borderId="10" xfId="0" applyFont="1" applyFill="1" applyBorder="1"/>
    <xf numFmtId="0" fontId="13" fillId="36" borderId="10" xfId="0" applyFont="1" applyFill="1" applyBorder="1"/>
    <xf numFmtId="0" fontId="17" fillId="37" borderId="0" xfId="0" applyFont="1" applyFill="1"/>
    <xf numFmtId="14" fontId="17" fillId="37" borderId="0" xfId="0" applyNumberFormat="1" applyFont="1" applyFill="1"/>
    <xf numFmtId="0" fontId="13" fillId="37" borderId="0" xfId="0" applyFont="1" applyFill="1"/>
    <xf numFmtId="0" fontId="17" fillId="37" borderId="14" xfId="0" applyFont="1" applyFill="1" applyBorder="1"/>
    <xf numFmtId="14" fontId="17" fillId="37" borderId="10" xfId="0" applyNumberFormat="1" applyFont="1" applyFill="1" applyBorder="1"/>
    <xf numFmtId="0" fontId="17" fillId="37" borderId="10" xfId="0" applyFont="1" applyFill="1" applyBorder="1"/>
    <xf numFmtId="0" fontId="13" fillId="37" borderId="10" xfId="0" applyFont="1" applyFill="1" applyBorder="1"/>
    <xf numFmtId="0" fontId="13" fillId="38" borderId="17" xfId="0" applyFont="1" applyFill="1" applyBorder="1"/>
    <xf numFmtId="0" fontId="13" fillId="38" borderId="18" xfId="0" applyFont="1" applyFill="1" applyBorder="1"/>
    <xf numFmtId="0" fontId="13" fillId="38" borderId="19" xfId="0" applyFont="1" applyFill="1" applyBorder="1"/>
    <xf numFmtId="0" fontId="0" fillId="39" borderId="17" xfId="0" applyFill="1" applyBorder="1"/>
    <xf numFmtId="0" fontId="0" fillId="39" borderId="18" xfId="0" applyFill="1" applyBorder="1"/>
    <xf numFmtId="0" fontId="0" fillId="39" borderId="19" xfId="0" applyFill="1" applyBorder="1"/>
    <xf numFmtId="0" fontId="0" fillId="40" borderId="18" xfId="0" applyFill="1" applyBorder="1"/>
    <xf numFmtId="0" fontId="0" fillId="40" borderId="19" xfId="0" applyFill="1" applyBorder="1"/>
    <xf numFmtId="0" fontId="0" fillId="40" borderId="16" xfId="0" applyFill="1" applyBorder="1"/>
    <xf numFmtId="0" fontId="0" fillId="40" borderId="17" xfId="0" applyFill="1" applyBorder="1"/>
    <xf numFmtId="0" fontId="0" fillId="40" borderId="15" xfId="0"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0" fillId="0" borderId="0" xfId="0" applyNumberFormat="1"/>
    <xf numFmtId="0" fontId="19" fillId="41"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ill>
        <patternFill>
          <bgColor rgb="FF92D050"/>
        </patternFill>
      </fil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colors>
    <mruColors>
      <color rgb="FFFF9953"/>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[sales_data.xlsx]Product_Analysis!PivotTable5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Market Share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Product_Analysis!$B$3:$B$4</c:f>
              <c:strCache>
                <c:ptCount val="1"/>
                <c:pt idx="0">
                  <c:v>January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Product_Analysis!$B$5:$B$9</c:f>
              <c:numCache>
                <c:formatCode>0.00%</c:formatCode>
                <c:ptCount val="4"/>
                <c:pt idx="0">
                  <c:v>0.1704325124807255</c:v>
                </c:pt>
                <c:pt idx="1">
                  <c:v>0.20921945212032386</c:v>
                </c:pt>
                <c:pt idx="2">
                  <c:v>0.45117759016401776</c:v>
                </c:pt>
                <c:pt idx="3">
                  <c:v>0.1691704452349328</c:v>
                </c:pt>
              </c:numCache>
            </c:numRef>
          </c:val>
          <c:smooth val="0"/>
          <c:extLst>
            <c:ext xmlns:c16="http://schemas.microsoft.com/office/drawing/2014/chart" uri="{C3380CC4-5D6E-409C-BE32-E72D297353CC}">
              <c16:uniqueId val="{00000000-2F7E-4607-A9CF-2ED74CD26D8D}"/>
            </c:ext>
          </c:extLst>
        </c:ser>
        <c:ser>
          <c:idx val="1"/>
          <c:order val="1"/>
          <c:tx>
            <c:strRef>
              <c:f>Product_Analysis!$C$3:$C$4</c:f>
              <c:strCache>
                <c:ptCount val="1"/>
                <c:pt idx="0">
                  <c:v>February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Product_Analysis!$C$5:$C$9</c:f>
              <c:numCache>
                <c:formatCode>0.00%</c:formatCode>
                <c:ptCount val="4"/>
                <c:pt idx="0">
                  <c:v>8.2633331188077405E-2</c:v>
                </c:pt>
                <c:pt idx="1">
                  <c:v>0.21037522838304606</c:v>
                </c:pt>
                <c:pt idx="2">
                  <c:v>0.50397341218626102</c:v>
                </c:pt>
                <c:pt idx="3">
                  <c:v>0.20301802824261536</c:v>
                </c:pt>
              </c:numCache>
            </c:numRef>
          </c:val>
          <c:smooth val="0"/>
          <c:extLst>
            <c:ext xmlns:c16="http://schemas.microsoft.com/office/drawing/2014/chart" uri="{C3380CC4-5D6E-409C-BE32-E72D297353CC}">
              <c16:uniqueId val="{00000001-2F7E-4607-A9CF-2ED74CD26D8D}"/>
            </c:ext>
          </c:extLst>
        </c:ser>
        <c:ser>
          <c:idx val="2"/>
          <c:order val="2"/>
          <c:tx>
            <c:strRef>
              <c:f>Product_Analysis!$D$3:$D$4</c:f>
              <c:strCache>
                <c:ptCount val="1"/>
                <c:pt idx="0">
                  <c:v>March</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Product_Analysis!$D$5:$D$9</c:f>
              <c:numCache>
                <c:formatCode>0.00%</c:formatCode>
                <c:ptCount val="4"/>
                <c:pt idx="0">
                  <c:v>0.170719463514001</c:v>
                </c:pt>
                <c:pt idx="1">
                  <c:v>0.14168785794893324</c:v>
                </c:pt>
                <c:pt idx="2">
                  <c:v>0.38772836508293507</c:v>
                </c:pt>
                <c:pt idx="3">
                  <c:v>0.29986431345413062</c:v>
                </c:pt>
              </c:numCache>
            </c:numRef>
          </c:val>
          <c:smooth val="0"/>
          <c:extLst>
            <c:ext xmlns:c16="http://schemas.microsoft.com/office/drawing/2014/chart" uri="{C3380CC4-5D6E-409C-BE32-E72D297353CC}">
              <c16:uniqueId val="{00000002-2F7E-4607-A9CF-2ED74CD26D8D}"/>
            </c:ext>
          </c:extLst>
        </c:ser>
        <c:ser>
          <c:idx val="3"/>
          <c:order val="3"/>
          <c:tx>
            <c:strRef>
              <c:f>Product_Analysis!$E$3:$E$4</c:f>
              <c:strCache>
                <c:ptCount val="1"/>
                <c:pt idx="0">
                  <c:v>April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Product_Analysis!$E$5:$E$9</c:f>
              <c:numCache>
                <c:formatCode>0.00%</c:formatCode>
                <c:ptCount val="4"/>
                <c:pt idx="0">
                  <c:v>0.17709928685434007</c:v>
                </c:pt>
                <c:pt idx="1">
                  <c:v>0.3095754636191459</c:v>
                </c:pt>
                <c:pt idx="2">
                  <c:v>0.3219630494733941</c:v>
                </c:pt>
                <c:pt idx="3">
                  <c:v>0.19136220005311977</c:v>
                </c:pt>
              </c:numCache>
            </c:numRef>
          </c:val>
          <c:smooth val="0"/>
          <c:extLst>
            <c:ext xmlns:c16="http://schemas.microsoft.com/office/drawing/2014/chart" uri="{C3380CC4-5D6E-409C-BE32-E72D297353CC}">
              <c16:uniqueId val="{00000003-2F7E-4607-A9CF-2ED74CD26D8D}"/>
            </c:ext>
          </c:extLst>
        </c:ser>
        <c:ser>
          <c:idx val="4"/>
          <c:order val="4"/>
          <c:tx>
            <c:strRef>
              <c:f>Product_Analysis!$F$3:$F$4</c:f>
              <c:strCache>
                <c:ptCount val="1"/>
                <c:pt idx="0">
                  <c:v>May</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Product_Analysis!$F$5:$F$9</c:f>
              <c:numCache>
                <c:formatCode>0.00%</c:formatCode>
                <c:ptCount val="4"/>
                <c:pt idx="0">
                  <c:v>0.11250531850230977</c:v>
                </c:pt>
                <c:pt idx="1">
                  <c:v>0.17352516031485535</c:v>
                </c:pt>
                <c:pt idx="2">
                  <c:v>0.40492037442256262</c:v>
                </c:pt>
                <c:pt idx="3">
                  <c:v>0.30904914676027234</c:v>
                </c:pt>
              </c:numCache>
            </c:numRef>
          </c:val>
          <c:smooth val="0"/>
          <c:extLst>
            <c:ext xmlns:c16="http://schemas.microsoft.com/office/drawing/2014/chart" uri="{C3380CC4-5D6E-409C-BE32-E72D297353CC}">
              <c16:uniqueId val="{00000004-2F7E-4607-A9CF-2ED74CD26D8D}"/>
            </c:ext>
          </c:extLst>
        </c:ser>
        <c:ser>
          <c:idx val="5"/>
          <c:order val="5"/>
          <c:tx>
            <c:strRef>
              <c:f>Product_Analysis!$G$3:$G$4</c:f>
              <c:strCache>
                <c:ptCount val="1"/>
                <c:pt idx="0">
                  <c:v>June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Product_Analysis!$G$5:$G$9</c:f>
              <c:numCache>
                <c:formatCode>0.00%</c:formatCode>
                <c:ptCount val="4"/>
                <c:pt idx="0">
                  <c:v>0.18846129108809007</c:v>
                </c:pt>
                <c:pt idx="1">
                  <c:v>0.16627910071391977</c:v>
                </c:pt>
                <c:pt idx="2">
                  <c:v>0.35423971647249552</c:v>
                </c:pt>
                <c:pt idx="3">
                  <c:v>0.29101989172549469</c:v>
                </c:pt>
              </c:numCache>
            </c:numRef>
          </c:val>
          <c:smooth val="0"/>
          <c:extLst>
            <c:ext xmlns:c16="http://schemas.microsoft.com/office/drawing/2014/chart" uri="{C3380CC4-5D6E-409C-BE32-E72D297353CC}">
              <c16:uniqueId val="{00000005-2F7E-4607-A9CF-2ED74CD26D8D}"/>
            </c:ext>
          </c:extLst>
        </c:ser>
        <c:ser>
          <c:idx val="6"/>
          <c:order val="6"/>
          <c:tx>
            <c:strRef>
              <c:f>Product_Analysis!$H$3:$H$4</c:f>
              <c:strCache>
                <c:ptCount val="1"/>
                <c:pt idx="0">
                  <c:v>July</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Product_Analysis!$H$5:$H$9</c:f>
              <c:numCache>
                <c:formatCode>0.00%</c:formatCode>
                <c:ptCount val="4"/>
                <c:pt idx="0">
                  <c:v>0.20855415373501793</c:v>
                </c:pt>
                <c:pt idx="1">
                  <c:v>0.1850362910252599</c:v>
                </c:pt>
                <c:pt idx="2">
                  <c:v>0.44608263753173993</c:v>
                </c:pt>
                <c:pt idx="3">
                  <c:v>0.16032691770798221</c:v>
                </c:pt>
              </c:numCache>
            </c:numRef>
          </c:val>
          <c:smooth val="0"/>
          <c:extLst>
            <c:ext xmlns:c16="http://schemas.microsoft.com/office/drawing/2014/chart" uri="{C3380CC4-5D6E-409C-BE32-E72D297353CC}">
              <c16:uniqueId val="{00000006-2F7E-4607-A9CF-2ED74CD26D8D}"/>
            </c:ext>
          </c:extLst>
        </c:ser>
        <c:ser>
          <c:idx val="7"/>
          <c:order val="7"/>
          <c:tx>
            <c:strRef>
              <c:f>Product_Analysis!$I$3:$I$4</c:f>
              <c:strCache>
                <c:ptCount val="1"/>
                <c:pt idx="0">
                  <c:v>August</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Product_Analysis!$I$5:$I$9</c:f>
              <c:numCache>
                <c:formatCode>0.00%</c:formatCode>
                <c:ptCount val="4"/>
                <c:pt idx="0">
                  <c:v>4.6970993451176828E-2</c:v>
                </c:pt>
                <c:pt idx="1">
                  <c:v>0.1424046550786526</c:v>
                </c:pt>
                <c:pt idx="2">
                  <c:v>0.64852264642969271</c:v>
                </c:pt>
                <c:pt idx="3">
                  <c:v>0.16210170504047783</c:v>
                </c:pt>
              </c:numCache>
            </c:numRef>
          </c:val>
          <c:smooth val="0"/>
          <c:extLst>
            <c:ext xmlns:c16="http://schemas.microsoft.com/office/drawing/2014/chart" uri="{C3380CC4-5D6E-409C-BE32-E72D297353CC}">
              <c16:uniqueId val="{00000007-2F7E-4607-A9CF-2ED74CD26D8D}"/>
            </c:ext>
          </c:extLst>
        </c:ser>
        <c:ser>
          <c:idx val="8"/>
          <c:order val="8"/>
          <c:tx>
            <c:strRef>
              <c:f>Product_Analysis!$J$3:$J$4</c:f>
              <c:strCache>
                <c:ptCount val="1"/>
                <c:pt idx="0">
                  <c:v>September</c:v>
                </c:pt>
              </c:strCache>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Product_Analysis!$J$5:$J$9</c:f>
              <c:numCache>
                <c:formatCode>0.00%</c:formatCode>
                <c:ptCount val="4"/>
                <c:pt idx="0">
                  <c:v>0.25414614049175555</c:v>
                </c:pt>
                <c:pt idx="1">
                  <c:v>0.22316367825698058</c:v>
                </c:pt>
                <c:pt idx="2">
                  <c:v>0.38175370939551312</c:v>
                </c:pt>
                <c:pt idx="3">
                  <c:v>0.14093647185575078</c:v>
                </c:pt>
              </c:numCache>
            </c:numRef>
          </c:val>
          <c:smooth val="0"/>
          <c:extLst>
            <c:ext xmlns:c16="http://schemas.microsoft.com/office/drawing/2014/chart" uri="{C3380CC4-5D6E-409C-BE32-E72D297353CC}">
              <c16:uniqueId val="{00000008-2F7E-4607-A9CF-2ED74CD26D8D}"/>
            </c:ext>
          </c:extLst>
        </c:ser>
        <c:dLbls>
          <c:dLblPos val="t"/>
          <c:showLegendKey val="0"/>
          <c:showVal val="1"/>
          <c:showCatName val="0"/>
          <c:showSerName val="0"/>
          <c:showPercent val="0"/>
          <c:showBubbleSize val="0"/>
        </c:dLbls>
        <c:smooth val="0"/>
        <c:axId val="445153856"/>
        <c:axId val="445154336"/>
      </c:lineChart>
      <c:catAx>
        <c:axId val="44515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54336"/>
        <c:crosses val="autoZero"/>
        <c:auto val="1"/>
        <c:lblAlgn val="ctr"/>
        <c:lblOffset val="100"/>
        <c:noMultiLvlLbl val="0"/>
      </c:catAx>
      <c:valAx>
        <c:axId val="445154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5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[sales_data.xlsx]Product_Analysis!PivotTable5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Market Share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Product_Analysis!$B$3:$B$4</c:f>
              <c:strCache>
                <c:ptCount val="1"/>
                <c:pt idx="0">
                  <c:v>January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Product_Analysis!$B$5:$B$9</c:f>
              <c:numCache>
                <c:formatCode>0.00%</c:formatCode>
                <c:ptCount val="4"/>
                <c:pt idx="0">
                  <c:v>0.1704325124807255</c:v>
                </c:pt>
                <c:pt idx="1">
                  <c:v>0.20921945212032386</c:v>
                </c:pt>
                <c:pt idx="2">
                  <c:v>0.45117759016401776</c:v>
                </c:pt>
                <c:pt idx="3">
                  <c:v>0.1691704452349328</c:v>
                </c:pt>
              </c:numCache>
            </c:numRef>
          </c:val>
          <c:extLst>
            <c:ext xmlns:c16="http://schemas.microsoft.com/office/drawing/2014/chart" uri="{C3380CC4-5D6E-409C-BE32-E72D297353CC}">
              <c16:uniqueId val="{00000000-CEA2-4814-8157-84DA192296A5}"/>
            </c:ext>
          </c:extLst>
        </c:ser>
        <c:ser>
          <c:idx val="1"/>
          <c:order val="1"/>
          <c:tx>
            <c:strRef>
              <c:f>Product_Analysis!$C$3:$C$4</c:f>
              <c:strCache>
                <c:ptCount val="1"/>
                <c:pt idx="0">
                  <c:v>February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Product_Analysis!$C$5:$C$9</c:f>
              <c:numCache>
                <c:formatCode>0.00%</c:formatCode>
                <c:ptCount val="4"/>
                <c:pt idx="0">
                  <c:v>8.2633331188077405E-2</c:v>
                </c:pt>
                <c:pt idx="1">
                  <c:v>0.21037522838304606</c:v>
                </c:pt>
                <c:pt idx="2">
                  <c:v>0.50397341218626102</c:v>
                </c:pt>
                <c:pt idx="3">
                  <c:v>0.20301802824261536</c:v>
                </c:pt>
              </c:numCache>
            </c:numRef>
          </c:val>
          <c:extLst>
            <c:ext xmlns:c16="http://schemas.microsoft.com/office/drawing/2014/chart" uri="{C3380CC4-5D6E-409C-BE32-E72D297353CC}">
              <c16:uniqueId val="{00000001-CEA2-4814-8157-84DA192296A5}"/>
            </c:ext>
          </c:extLst>
        </c:ser>
        <c:ser>
          <c:idx val="2"/>
          <c:order val="2"/>
          <c:tx>
            <c:strRef>
              <c:f>Product_Analysis!$D$3:$D$4</c:f>
              <c:strCache>
                <c:ptCount val="1"/>
                <c:pt idx="0">
                  <c:v>March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Product_Analysis!$D$5:$D$9</c:f>
              <c:numCache>
                <c:formatCode>0.00%</c:formatCode>
                <c:ptCount val="4"/>
                <c:pt idx="0">
                  <c:v>0.170719463514001</c:v>
                </c:pt>
                <c:pt idx="1">
                  <c:v>0.14168785794893324</c:v>
                </c:pt>
                <c:pt idx="2">
                  <c:v>0.38772836508293507</c:v>
                </c:pt>
                <c:pt idx="3">
                  <c:v>0.29986431345413062</c:v>
                </c:pt>
              </c:numCache>
            </c:numRef>
          </c:val>
          <c:extLst>
            <c:ext xmlns:c16="http://schemas.microsoft.com/office/drawing/2014/chart" uri="{C3380CC4-5D6E-409C-BE32-E72D297353CC}">
              <c16:uniqueId val="{00000002-CEA2-4814-8157-84DA192296A5}"/>
            </c:ext>
          </c:extLst>
        </c:ser>
        <c:ser>
          <c:idx val="3"/>
          <c:order val="3"/>
          <c:tx>
            <c:strRef>
              <c:f>Product_Analysis!$E$3:$E$4</c:f>
              <c:strCache>
                <c:ptCount val="1"/>
                <c:pt idx="0">
                  <c:v>April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Product_Analysis!$E$5:$E$9</c:f>
              <c:numCache>
                <c:formatCode>0.00%</c:formatCode>
                <c:ptCount val="4"/>
                <c:pt idx="0">
                  <c:v>0.17709928685434007</c:v>
                </c:pt>
                <c:pt idx="1">
                  <c:v>0.3095754636191459</c:v>
                </c:pt>
                <c:pt idx="2">
                  <c:v>0.3219630494733941</c:v>
                </c:pt>
                <c:pt idx="3">
                  <c:v>0.19136220005311977</c:v>
                </c:pt>
              </c:numCache>
            </c:numRef>
          </c:val>
          <c:extLst>
            <c:ext xmlns:c16="http://schemas.microsoft.com/office/drawing/2014/chart" uri="{C3380CC4-5D6E-409C-BE32-E72D297353CC}">
              <c16:uniqueId val="{00000003-CEA2-4814-8157-84DA192296A5}"/>
            </c:ext>
          </c:extLst>
        </c:ser>
        <c:ser>
          <c:idx val="4"/>
          <c:order val="4"/>
          <c:tx>
            <c:strRef>
              <c:f>Product_Analysis!$F$3:$F$4</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Product_Analysis!$F$5:$F$9</c:f>
              <c:numCache>
                <c:formatCode>0.00%</c:formatCode>
                <c:ptCount val="4"/>
                <c:pt idx="0">
                  <c:v>0.11250531850230977</c:v>
                </c:pt>
                <c:pt idx="1">
                  <c:v>0.17352516031485535</c:v>
                </c:pt>
                <c:pt idx="2">
                  <c:v>0.40492037442256262</c:v>
                </c:pt>
                <c:pt idx="3">
                  <c:v>0.30904914676027234</c:v>
                </c:pt>
              </c:numCache>
            </c:numRef>
          </c:val>
          <c:extLst>
            <c:ext xmlns:c16="http://schemas.microsoft.com/office/drawing/2014/chart" uri="{C3380CC4-5D6E-409C-BE32-E72D297353CC}">
              <c16:uniqueId val="{00000004-CEA2-4814-8157-84DA192296A5}"/>
            </c:ext>
          </c:extLst>
        </c:ser>
        <c:ser>
          <c:idx val="5"/>
          <c:order val="5"/>
          <c:tx>
            <c:strRef>
              <c:f>Product_Analysis!$G$3:$G$4</c:f>
              <c:strCache>
                <c:ptCount val="1"/>
                <c:pt idx="0">
                  <c:v>June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Product_Analysis!$G$5:$G$9</c:f>
              <c:numCache>
                <c:formatCode>0.00%</c:formatCode>
                <c:ptCount val="4"/>
                <c:pt idx="0">
                  <c:v>0.18846129108809007</c:v>
                </c:pt>
                <c:pt idx="1">
                  <c:v>0.16627910071391977</c:v>
                </c:pt>
                <c:pt idx="2">
                  <c:v>0.35423971647249552</c:v>
                </c:pt>
                <c:pt idx="3">
                  <c:v>0.29101989172549469</c:v>
                </c:pt>
              </c:numCache>
            </c:numRef>
          </c:val>
          <c:extLst>
            <c:ext xmlns:c16="http://schemas.microsoft.com/office/drawing/2014/chart" uri="{C3380CC4-5D6E-409C-BE32-E72D297353CC}">
              <c16:uniqueId val="{00000005-CEA2-4814-8157-84DA192296A5}"/>
            </c:ext>
          </c:extLst>
        </c:ser>
        <c:ser>
          <c:idx val="6"/>
          <c:order val="6"/>
          <c:tx>
            <c:strRef>
              <c:f>Product_Analysis!$H$3:$H$4</c:f>
              <c:strCache>
                <c:ptCount val="1"/>
                <c:pt idx="0">
                  <c:v>July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Product_Analysis!$H$5:$H$9</c:f>
              <c:numCache>
                <c:formatCode>0.00%</c:formatCode>
                <c:ptCount val="4"/>
                <c:pt idx="0">
                  <c:v>0.20855415373501793</c:v>
                </c:pt>
                <c:pt idx="1">
                  <c:v>0.1850362910252599</c:v>
                </c:pt>
                <c:pt idx="2">
                  <c:v>0.44608263753173993</c:v>
                </c:pt>
                <c:pt idx="3">
                  <c:v>0.16032691770798221</c:v>
                </c:pt>
              </c:numCache>
            </c:numRef>
          </c:val>
          <c:extLst>
            <c:ext xmlns:c16="http://schemas.microsoft.com/office/drawing/2014/chart" uri="{C3380CC4-5D6E-409C-BE32-E72D297353CC}">
              <c16:uniqueId val="{00000006-CEA2-4814-8157-84DA192296A5}"/>
            </c:ext>
          </c:extLst>
        </c:ser>
        <c:ser>
          <c:idx val="7"/>
          <c:order val="7"/>
          <c:tx>
            <c:strRef>
              <c:f>Product_Analysis!$I$3:$I$4</c:f>
              <c:strCache>
                <c:ptCount val="1"/>
                <c:pt idx="0">
                  <c:v>August</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Product_Analysis!$I$5:$I$9</c:f>
              <c:numCache>
                <c:formatCode>0.00%</c:formatCode>
                <c:ptCount val="4"/>
                <c:pt idx="0">
                  <c:v>4.6970993451176828E-2</c:v>
                </c:pt>
                <c:pt idx="1">
                  <c:v>0.1424046550786526</c:v>
                </c:pt>
                <c:pt idx="2">
                  <c:v>0.64852264642969271</c:v>
                </c:pt>
                <c:pt idx="3">
                  <c:v>0.16210170504047783</c:v>
                </c:pt>
              </c:numCache>
            </c:numRef>
          </c:val>
          <c:extLst>
            <c:ext xmlns:c16="http://schemas.microsoft.com/office/drawing/2014/chart" uri="{C3380CC4-5D6E-409C-BE32-E72D297353CC}">
              <c16:uniqueId val="{00000007-CEA2-4814-8157-84DA192296A5}"/>
            </c:ext>
          </c:extLst>
        </c:ser>
        <c:ser>
          <c:idx val="8"/>
          <c:order val="8"/>
          <c:tx>
            <c:strRef>
              <c:f>Product_Analysis!$J$3:$J$4</c:f>
              <c:strCache>
                <c:ptCount val="1"/>
                <c:pt idx="0">
                  <c:v>September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Product_Analysis!$J$5:$J$9</c:f>
              <c:numCache>
                <c:formatCode>0.00%</c:formatCode>
                <c:ptCount val="4"/>
                <c:pt idx="0">
                  <c:v>0.25414614049175555</c:v>
                </c:pt>
                <c:pt idx="1">
                  <c:v>0.22316367825698058</c:v>
                </c:pt>
                <c:pt idx="2">
                  <c:v>0.38175370939551312</c:v>
                </c:pt>
                <c:pt idx="3">
                  <c:v>0.14093647185575078</c:v>
                </c:pt>
              </c:numCache>
            </c:numRef>
          </c:val>
          <c:extLst>
            <c:ext xmlns:c16="http://schemas.microsoft.com/office/drawing/2014/chart" uri="{C3380CC4-5D6E-409C-BE32-E72D297353CC}">
              <c16:uniqueId val="{00000008-CEA2-4814-8157-84DA192296A5}"/>
            </c:ext>
          </c:extLst>
        </c:ser>
        <c:dLbls>
          <c:dLblPos val="outEnd"/>
          <c:showLegendKey val="0"/>
          <c:showVal val="1"/>
          <c:showCatName val="0"/>
          <c:showSerName val="0"/>
          <c:showPercent val="0"/>
          <c:showBubbleSize val="0"/>
        </c:dLbls>
        <c:gapWidth val="219"/>
        <c:overlap val="-27"/>
        <c:axId val="868545792"/>
        <c:axId val="868550592"/>
      </c:barChart>
      <c:catAx>
        <c:axId val="86854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50592"/>
        <c:crosses val="autoZero"/>
        <c:auto val="1"/>
        <c:lblAlgn val="ctr"/>
        <c:lblOffset val="100"/>
        <c:noMultiLvlLbl val="0"/>
      </c:catAx>
      <c:valAx>
        <c:axId val="868550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[sales_data.xlsx]Region_Analysis!PivotTable3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Sales by Region and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Region_Analysis!$B$3:$B$5</c:f>
              <c:strCache>
                <c:ptCount val="1"/>
                <c:pt idx="0">
                  <c:v>Cancelled - Sum of Total Order Value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Region_Analysis!$B$6:$B$10</c:f>
              <c:numCache>
                <c:formatCode>"$"#,##0</c:formatCode>
                <c:ptCount val="4"/>
                <c:pt idx="0">
                  <c:v>149.89499999999998</c:v>
                </c:pt>
                <c:pt idx="1">
                  <c:v>121.47149999999999</c:v>
                </c:pt>
                <c:pt idx="2">
                  <c:v>185.94299999999998</c:v>
                </c:pt>
                <c:pt idx="3">
                  <c:v>53.939</c:v>
                </c:pt>
              </c:numCache>
            </c:numRef>
          </c:val>
          <c:extLst>
            <c:ext xmlns:c16="http://schemas.microsoft.com/office/drawing/2014/chart" uri="{C3380CC4-5D6E-409C-BE32-E72D297353CC}">
              <c16:uniqueId val="{00000000-ED68-469A-8475-1AC56AF841EA}"/>
            </c:ext>
          </c:extLst>
        </c:ser>
        <c:ser>
          <c:idx val="1"/>
          <c:order val="1"/>
          <c:tx>
            <c:strRef>
              <c:f>Region_Analysis!$C$3:$C$5</c:f>
              <c:strCache>
                <c:ptCount val="1"/>
                <c:pt idx="0">
                  <c:v>Cancelled - Count of Order_ID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Region_Analysis!$C$6:$C$10</c:f>
              <c:numCache>
                <c:formatCode>General</c:formatCode>
                <c:ptCount val="4"/>
                <c:pt idx="0">
                  <c:v>2</c:v>
                </c:pt>
                <c:pt idx="1">
                  <c:v>1</c:v>
                </c:pt>
                <c:pt idx="2">
                  <c:v>3</c:v>
                </c:pt>
                <c:pt idx="3">
                  <c:v>1</c:v>
                </c:pt>
              </c:numCache>
            </c:numRef>
          </c:val>
          <c:extLst>
            <c:ext xmlns:c16="http://schemas.microsoft.com/office/drawing/2014/chart" uri="{C3380CC4-5D6E-409C-BE32-E72D297353CC}">
              <c16:uniqueId val="{00000001-ED68-469A-8475-1AC56AF841EA}"/>
            </c:ext>
          </c:extLst>
        </c:ser>
        <c:ser>
          <c:idx val="2"/>
          <c:order val="2"/>
          <c:tx>
            <c:strRef>
              <c:f>Region_Analysis!$D$3:$D$5</c:f>
              <c:strCache>
                <c:ptCount val="1"/>
                <c:pt idx="0">
                  <c:v>Delivered - Sum of Total Order Value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Region_Analysis!$D$6:$D$10</c:f>
              <c:numCache>
                <c:formatCode>"$"#,##0</c:formatCode>
                <c:ptCount val="4"/>
                <c:pt idx="0">
                  <c:v>1974.0174999999999</c:v>
                </c:pt>
                <c:pt idx="1">
                  <c:v>1806.537</c:v>
                </c:pt>
                <c:pt idx="2">
                  <c:v>1176.3564999999999</c:v>
                </c:pt>
                <c:pt idx="3">
                  <c:v>1915.0004999999999</c:v>
                </c:pt>
              </c:numCache>
            </c:numRef>
          </c:val>
          <c:extLst>
            <c:ext xmlns:c16="http://schemas.microsoft.com/office/drawing/2014/chart" uri="{C3380CC4-5D6E-409C-BE32-E72D297353CC}">
              <c16:uniqueId val="{00000002-ED68-469A-8475-1AC56AF841EA}"/>
            </c:ext>
          </c:extLst>
        </c:ser>
        <c:ser>
          <c:idx val="3"/>
          <c:order val="3"/>
          <c:tx>
            <c:strRef>
              <c:f>Region_Analysis!$E$3:$E$5</c:f>
              <c:strCache>
                <c:ptCount val="1"/>
                <c:pt idx="0">
                  <c:v>Delivered - Count of Order_ID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Region_Analysis!$E$6:$E$10</c:f>
              <c:numCache>
                <c:formatCode>General</c:formatCode>
                <c:ptCount val="4"/>
                <c:pt idx="0">
                  <c:v>20</c:v>
                </c:pt>
                <c:pt idx="1">
                  <c:v>21</c:v>
                </c:pt>
                <c:pt idx="2">
                  <c:v>17</c:v>
                </c:pt>
                <c:pt idx="3">
                  <c:v>22</c:v>
                </c:pt>
              </c:numCache>
            </c:numRef>
          </c:val>
          <c:extLst>
            <c:ext xmlns:c16="http://schemas.microsoft.com/office/drawing/2014/chart" uri="{C3380CC4-5D6E-409C-BE32-E72D297353CC}">
              <c16:uniqueId val="{00000003-ED68-469A-8475-1AC56AF841EA}"/>
            </c:ext>
          </c:extLst>
        </c:ser>
        <c:ser>
          <c:idx val="4"/>
          <c:order val="4"/>
          <c:tx>
            <c:strRef>
              <c:f>Region_Analysis!$F$3:$F$5</c:f>
              <c:strCache>
                <c:ptCount val="1"/>
                <c:pt idx="0">
                  <c:v>Processing - Sum of Total Order Value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Region_Analysis!$F$6:$F$10</c:f>
              <c:numCache>
                <c:formatCode>"$"#,##0</c:formatCode>
                <c:ptCount val="4"/>
                <c:pt idx="0">
                  <c:v>252.90899999999999</c:v>
                </c:pt>
                <c:pt idx="1">
                  <c:v>196.1575</c:v>
                </c:pt>
                <c:pt idx="2">
                  <c:v>899.84799999999996</c:v>
                </c:pt>
                <c:pt idx="3">
                  <c:v>223.44500000000002</c:v>
                </c:pt>
              </c:numCache>
            </c:numRef>
          </c:val>
          <c:extLst>
            <c:ext xmlns:c16="http://schemas.microsoft.com/office/drawing/2014/chart" uri="{C3380CC4-5D6E-409C-BE32-E72D297353CC}">
              <c16:uniqueId val="{00000004-ED68-469A-8475-1AC56AF841EA}"/>
            </c:ext>
          </c:extLst>
        </c:ser>
        <c:ser>
          <c:idx val="5"/>
          <c:order val="5"/>
          <c:tx>
            <c:strRef>
              <c:f>Region_Analysis!$G$3:$G$5</c:f>
              <c:strCache>
                <c:ptCount val="1"/>
                <c:pt idx="0">
                  <c:v>Processing - Count of Order_ID</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Region_Analysis!$G$6:$G$10</c:f>
              <c:numCache>
                <c:formatCode>General</c:formatCode>
                <c:ptCount val="4"/>
                <c:pt idx="0">
                  <c:v>3</c:v>
                </c:pt>
                <c:pt idx="1">
                  <c:v>3</c:v>
                </c:pt>
                <c:pt idx="2">
                  <c:v>5</c:v>
                </c:pt>
                <c:pt idx="3">
                  <c:v>2</c:v>
                </c:pt>
              </c:numCache>
            </c:numRef>
          </c:val>
          <c:extLst>
            <c:ext xmlns:c16="http://schemas.microsoft.com/office/drawing/2014/chart" uri="{C3380CC4-5D6E-409C-BE32-E72D297353CC}">
              <c16:uniqueId val="{00000005-ED68-469A-8475-1AC56AF841EA}"/>
            </c:ext>
          </c:extLst>
        </c:ser>
        <c:dLbls>
          <c:showLegendKey val="0"/>
          <c:showVal val="1"/>
          <c:showCatName val="0"/>
          <c:showSerName val="0"/>
          <c:showPercent val="0"/>
          <c:showBubbleSize val="0"/>
        </c:dLbls>
        <c:gapWidth val="150"/>
        <c:shape val="box"/>
        <c:axId val="836636928"/>
        <c:axId val="836629248"/>
        <c:axId val="0"/>
      </c:bar3DChart>
      <c:catAx>
        <c:axId val="83663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29248"/>
        <c:crosses val="autoZero"/>
        <c:auto val="1"/>
        <c:lblAlgn val="ctr"/>
        <c:lblOffset val="100"/>
        <c:noMultiLvlLbl val="0"/>
      </c:catAx>
      <c:valAx>
        <c:axId val="83662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[sales_data.xlsx]Region_Analysis!PivotTable3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Total Sales by Region and Order Status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Region_Analysis!$B$3:$B$5</c:f>
              <c:strCache>
                <c:ptCount val="1"/>
                <c:pt idx="0">
                  <c:v>Cancelled - Sum of Total Order Value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Region_Analysis!$B$6:$B$10</c:f>
              <c:numCache>
                <c:formatCode>"$"#,##0</c:formatCode>
                <c:ptCount val="4"/>
                <c:pt idx="0">
                  <c:v>149.89499999999998</c:v>
                </c:pt>
                <c:pt idx="1">
                  <c:v>121.47149999999999</c:v>
                </c:pt>
                <c:pt idx="2">
                  <c:v>185.94299999999998</c:v>
                </c:pt>
                <c:pt idx="3">
                  <c:v>53.939</c:v>
                </c:pt>
              </c:numCache>
            </c:numRef>
          </c:val>
          <c:extLst>
            <c:ext xmlns:c16="http://schemas.microsoft.com/office/drawing/2014/chart" uri="{C3380CC4-5D6E-409C-BE32-E72D297353CC}">
              <c16:uniqueId val="{00000000-3AAE-4D0F-A6F9-713D3F99E656}"/>
            </c:ext>
          </c:extLst>
        </c:ser>
        <c:ser>
          <c:idx val="1"/>
          <c:order val="1"/>
          <c:tx>
            <c:strRef>
              <c:f>Region_Analysis!$C$3:$C$5</c:f>
              <c:strCache>
                <c:ptCount val="1"/>
                <c:pt idx="0">
                  <c:v>Cancelled - Count of Order_ID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Region_Analysis!$C$6:$C$10</c:f>
              <c:numCache>
                <c:formatCode>General</c:formatCode>
                <c:ptCount val="4"/>
                <c:pt idx="0">
                  <c:v>2</c:v>
                </c:pt>
                <c:pt idx="1">
                  <c:v>1</c:v>
                </c:pt>
                <c:pt idx="2">
                  <c:v>3</c:v>
                </c:pt>
                <c:pt idx="3">
                  <c:v>1</c:v>
                </c:pt>
              </c:numCache>
            </c:numRef>
          </c:val>
          <c:extLst>
            <c:ext xmlns:c16="http://schemas.microsoft.com/office/drawing/2014/chart" uri="{C3380CC4-5D6E-409C-BE32-E72D297353CC}">
              <c16:uniqueId val="{00000001-3AAE-4D0F-A6F9-713D3F99E656}"/>
            </c:ext>
          </c:extLst>
        </c:ser>
        <c:ser>
          <c:idx val="2"/>
          <c:order val="2"/>
          <c:tx>
            <c:strRef>
              <c:f>Region_Analysis!$D$3:$D$5</c:f>
              <c:strCache>
                <c:ptCount val="1"/>
                <c:pt idx="0">
                  <c:v>Delivered - Sum of Total Order Value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Region_Analysis!$D$6:$D$10</c:f>
              <c:numCache>
                <c:formatCode>"$"#,##0</c:formatCode>
                <c:ptCount val="4"/>
                <c:pt idx="0">
                  <c:v>1974.0174999999999</c:v>
                </c:pt>
                <c:pt idx="1">
                  <c:v>1806.537</c:v>
                </c:pt>
                <c:pt idx="2">
                  <c:v>1176.3564999999999</c:v>
                </c:pt>
                <c:pt idx="3">
                  <c:v>1915.0004999999999</c:v>
                </c:pt>
              </c:numCache>
            </c:numRef>
          </c:val>
          <c:extLst>
            <c:ext xmlns:c16="http://schemas.microsoft.com/office/drawing/2014/chart" uri="{C3380CC4-5D6E-409C-BE32-E72D297353CC}">
              <c16:uniqueId val="{00000002-3AAE-4D0F-A6F9-713D3F99E656}"/>
            </c:ext>
          </c:extLst>
        </c:ser>
        <c:ser>
          <c:idx val="3"/>
          <c:order val="3"/>
          <c:tx>
            <c:strRef>
              <c:f>Region_Analysis!$E$3:$E$5</c:f>
              <c:strCache>
                <c:ptCount val="1"/>
                <c:pt idx="0">
                  <c:v>Delivered - Count of Order_ID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Region_Analysis!$E$6:$E$10</c:f>
              <c:numCache>
                <c:formatCode>General</c:formatCode>
                <c:ptCount val="4"/>
                <c:pt idx="0">
                  <c:v>20</c:v>
                </c:pt>
                <c:pt idx="1">
                  <c:v>21</c:v>
                </c:pt>
                <c:pt idx="2">
                  <c:v>17</c:v>
                </c:pt>
                <c:pt idx="3">
                  <c:v>22</c:v>
                </c:pt>
              </c:numCache>
            </c:numRef>
          </c:val>
          <c:extLst>
            <c:ext xmlns:c16="http://schemas.microsoft.com/office/drawing/2014/chart" uri="{C3380CC4-5D6E-409C-BE32-E72D297353CC}">
              <c16:uniqueId val="{00000003-3AAE-4D0F-A6F9-713D3F99E656}"/>
            </c:ext>
          </c:extLst>
        </c:ser>
        <c:ser>
          <c:idx val="4"/>
          <c:order val="4"/>
          <c:tx>
            <c:strRef>
              <c:f>Region_Analysis!$F$3:$F$5</c:f>
              <c:strCache>
                <c:ptCount val="1"/>
                <c:pt idx="0">
                  <c:v>Processing - Sum of Total Order Value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Region_Analysis!$F$6:$F$10</c:f>
              <c:numCache>
                <c:formatCode>"$"#,##0</c:formatCode>
                <c:ptCount val="4"/>
                <c:pt idx="0">
                  <c:v>252.90899999999999</c:v>
                </c:pt>
                <c:pt idx="1">
                  <c:v>196.1575</c:v>
                </c:pt>
                <c:pt idx="2">
                  <c:v>899.84799999999996</c:v>
                </c:pt>
                <c:pt idx="3">
                  <c:v>223.44500000000002</c:v>
                </c:pt>
              </c:numCache>
            </c:numRef>
          </c:val>
          <c:extLst>
            <c:ext xmlns:c16="http://schemas.microsoft.com/office/drawing/2014/chart" uri="{C3380CC4-5D6E-409C-BE32-E72D297353CC}">
              <c16:uniqueId val="{00000004-3AAE-4D0F-A6F9-713D3F99E656}"/>
            </c:ext>
          </c:extLst>
        </c:ser>
        <c:ser>
          <c:idx val="5"/>
          <c:order val="5"/>
          <c:tx>
            <c:strRef>
              <c:f>Region_Analysis!$G$3:$G$5</c:f>
              <c:strCache>
                <c:ptCount val="1"/>
                <c:pt idx="0">
                  <c:v>Processing - Count of Order_ID</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Region_Analysis!$G$6:$G$10</c:f>
              <c:numCache>
                <c:formatCode>General</c:formatCode>
                <c:ptCount val="4"/>
                <c:pt idx="0">
                  <c:v>3</c:v>
                </c:pt>
                <c:pt idx="1">
                  <c:v>3</c:v>
                </c:pt>
                <c:pt idx="2">
                  <c:v>5</c:v>
                </c:pt>
                <c:pt idx="3">
                  <c:v>2</c:v>
                </c:pt>
              </c:numCache>
            </c:numRef>
          </c:val>
          <c:extLst>
            <c:ext xmlns:c16="http://schemas.microsoft.com/office/drawing/2014/chart" uri="{C3380CC4-5D6E-409C-BE32-E72D297353CC}">
              <c16:uniqueId val="{00000005-3AAE-4D0F-A6F9-713D3F99E656}"/>
            </c:ext>
          </c:extLst>
        </c:ser>
        <c:dLbls>
          <c:showLegendKey val="0"/>
          <c:showVal val="1"/>
          <c:showCatName val="0"/>
          <c:showSerName val="0"/>
          <c:showPercent val="0"/>
          <c:showBubbleSize val="0"/>
        </c:dLbls>
        <c:gapWidth val="150"/>
        <c:shape val="box"/>
        <c:axId val="836623488"/>
        <c:axId val="836631648"/>
        <c:axId val="0"/>
      </c:bar3DChart>
      <c:catAx>
        <c:axId val="83662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31648"/>
        <c:crosses val="autoZero"/>
        <c:auto val="1"/>
        <c:lblAlgn val="ctr"/>
        <c:lblOffset val="100"/>
        <c:noMultiLvlLbl val="0"/>
      </c:catAx>
      <c:valAx>
        <c:axId val="836631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[sales_data.xlsx]Customer_Analysis!PivotTable6</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0" i="0">
                <a:effectLst/>
              </a:rPr>
              <a:t>Customer Segmentation by Revenue Tier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Customer_Analysis!$B$3:$B$5</c:f>
              <c:strCache>
                <c:ptCount val="1"/>
                <c:pt idx="0">
                  <c:v>Cancelled - Count of Customer_Name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Customer_Analysis!$B$6:$B$20</c:f>
              <c:numCache>
                <c:formatCode>General</c:formatCode>
                <c:ptCount val="11"/>
                <c:pt idx="3">
                  <c:v>2</c:v>
                </c:pt>
                <c:pt idx="5">
                  <c:v>3</c:v>
                </c:pt>
                <c:pt idx="6">
                  <c:v>1</c:v>
                </c:pt>
                <c:pt idx="8">
                  <c:v>1</c:v>
                </c:pt>
              </c:numCache>
            </c:numRef>
          </c:val>
          <c:extLst>
            <c:ext xmlns:c16="http://schemas.microsoft.com/office/drawing/2014/chart" uri="{C3380CC4-5D6E-409C-BE32-E72D297353CC}">
              <c16:uniqueId val="{00000000-E56C-4FA0-9132-B248E576A885}"/>
            </c:ext>
          </c:extLst>
        </c:ser>
        <c:ser>
          <c:idx val="1"/>
          <c:order val="1"/>
          <c:tx>
            <c:strRef>
              <c:f>Customer_Analysis!$C$3:$C$5</c:f>
              <c:strCache>
                <c:ptCount val="1"/>
                <c:pt idx="0">
                  <c:v>Cancelled - Sum of Total Order Value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Customer_Analysis!$C$6:$C$20</c:f>
              <c:numCache>
                <c:formatCode>General</c:formatCode>
                <c:ptCount val="11"/>
                <c:pt idx="3">
                  <c:v>149.89499999999998</c:v>
                </c:pt>
                <c:pt idx="5">
                  <c:v>185.94299999999998</c:v>
                </c:pt>
                <c:pt idx="6">
                  <c:v>53.939</c:v>
                </c:pt>
                <c:pt idx="8">
                  <c:v>121.47149999999999</c:v>
                </c:pt>
              </c:numCache>
            </c:numRef>
          </c:val>
          <c:extLst>
            <c:ext xmlns:c16="http://schemas.microsoft.com/office/drawing/2014/chart" uri="{C3380CC4-5D6E-409C-BE32-E72D297353CC}">
              <c16:uniqueId val="{00000001-E56C-4FA0-9132-B248E576A885}"/>
            </c:ext>
          </c:extLst>
        </c:ser>
        <c:ser>
          <c:idx val="2"/>
          <c:order val="2"/>
          <c:tx>
            <c:strRef>
              <c:f>Customer_Analysis!$D$3:$D$5</c:f>
              <c:strCache>
                <c:ptCount val="1"/>
                <c:pt idx="0">
                  <c:v>Delivered - Count of Customer_Name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Customer_Analysis!$D$6:$D$20</c:f>
              <c:numCache>
                <c:formatCode>General</c:formatCode>
                <c:ptCount val="11"/>
                <c:pt idx="0">
                  <c:v>2</c:v>
                </c:pt>
                <c:pt idx="1">
                  <c:v>1</c:v>
                </c:pt>
                <c:pt idx="3">
                  <c:v>15</c:v>
                </c:pt>
                <c:pt idx="4">
                  <c:v>16</c:v>
                </c:pt>
                <c:pt idx="5">
                  <c:v>14</c:v>
                </c:pt>
                <c:pt idx="6">
                  <c:v>15</c:v>
                </c:pt>
                <c:pt idx="7">
                  <c:v>3</c:v>
                </c:pt>
                <c:pt idx="8">
                  <c:v>4</c:v>
                </c:pt>
                <c:pt idx="9">
                  <c:v>3</c:v>
                </c:pt>
                <c:pt idx="10">
                  <c:v>7</c:v>
                </c:pt>
              </c:numCache>
            </c:numRef>
          </c:val>
          <c:extLst>
            <c:ext xmlns:c16="http://schemas.microsoft.com/office/drawing/2014/chart" uri="{C3380CC4-5D6E-409C-BE32-E72D297353CC}">
              <c16:uniqueId val="{00000002-E56C-4FA0-9132-B248E576A885}"/>
            </c:ext>
          </c:extLst>
        </c:ser>
        <c:ser>
          <c:idx val="3"/>
          <c:order val="3"/>
          <c:tx>
            <c:strRef>
              <c:f>Customer_Analysis!$E$3:$E$5</c:f>
              <c:strCache>
                <c:ptCount val="1"/>
                <c:pt idx="0">
                  <c:v>Delivered - Sum of Total Order Value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Customer_Analysis!$E$6:$E$20</c:f>
              <c:numCache>
                <c:formatCode>General</c:formatCode>
                <c:ptCount val="11"/>
                <c:pt idx="0">
                  <c:v>625.96299999999997</c:v>
                </c:pt>
                <c:pt idx="1">
                  <c:v>227.48150000000001</c:v>
                </c:pt>
                <c:pt idx="3">
                  <c:v>1000.6109999999999</c:v>
                </c:pt>
                <c:pt idx="4">
                  <c:v>1087.6575</c:v>
                </c:pt>
                <c:pt idx="5">
                  <c:v>825.44049999999993</c:v>
                </c:pt>
                <c:pt idx="6">
                  <c:v>986.16249999999991</c:v>
                </c:pt>
                <c:pt idx="7">
                  <c:v>347.44350000000003</c:v>
                </c:pt>
                <c:pt idx="8">
                  <c:v>491.39800000000002</c:v>
                </c:pt>
                <c:pt idx="9">
                  <c:v>350.91599999999994</c:v>
                </c:pt>
                <c:pt idx="10">
                  <c:v>928.83800000000008</c:v>
                </c:pt>
              </c:numCache>
            </c:numRef>
          </c:val>
          <c:extLst>
            <c:ext xmlns:c16="http://schemas.microsoft.com/office/drawing/2014/chart" uri="{C3380CC4-5D6E-409C-BE32-E72D297353CC}">
              <c16:uniqueId val="{00000003-E56C-4FA0-9132-B248E576A885}"/>
            </c:ext>
          </c:extLst>
        </c:ser>
        <c:ser>
          <c:idx val="4"/>
          <c:order val="4"/>
          <c:tx>
            <c:strRef>
              <c:f>Customer_Analysis!$F$3:$F$5</c:f>
              <c:strCache>
                <c:ptCount val="1"/>
                <c:pt idx="0">
                  <c:v>Processing - Count of Customer_Name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Customer_Analysis!$F$6:$F$20</c:f>
              <c:numCache>
                <c:formatCode>General</c:formatCode>
                <c:ptCount val="11"/>
                <c:pt idx="2">
                  <c:v>1</c:v>
                </c:pt>
                <c:pt idx="3">
                  <c:v>3</c:v>
                </c:pt>
                <c:pt idx="4">
                  <c:v>3</c:v>
                </c:pt>
                <c:pt idx="5">
                  <c:v>3</c:v>
                </c:pt>
                <c:pt idx="6">
                  <c:v>1</c:v>
                </c:pt>
                <c:pt idx="9">
                  <c:v>1</c:v>
                </c:pt>
                <c:pt idx="10">
                  <c:v>1</c:v>
                </c:pt>
              </c:numCache>
            </c:numRef>
          </c:val>
          <c:extLst>
            <c:ext xmlns:c16="http://schemas.microsoft.com/office/drawing/2014/chart" uri="{C3380CC4-5D6E-409C-BE32-E72D297353CC}">
              <c16:uniqueId val="{00000004-E56C-4FA0-9132-B248E576A885}"/>
            </c:ext>
          </c:extLst>
        </c:ser>
        <c:ser>
          <c:idx val="5"/>
          <c:order val="5"/>
          <c:tx>
            <c:strRef>
              <c:f>Customer_Analysis!$G$3:$G$5</c:f>
              <c:strCache>
                <c:ptCount val="1"/>
                <c:pt idx="0">
                  <c:v>Processing - Sum of Total Order Value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Customer_Analysis!$G$6:$G$20</c:f>
              <c:numCache>
                <c:formatCode>General</c:formatCode>
                <c:ptCount val="11"/>
                <c:pt idx="2">
                  <c:v>474.98099999999999</c:v>
                </c:pt>
                <c:pt idx="3">
                  <c:v>252.90899999999999</c:v>
                </c:pt>
                <c:pt idx="4">
                  <c:v>196.1575</c:v>
                </c:pt>
                <c:pt idx="5">
                  <c:v>243.88549999999998</c:v>
                </c:pt>
                <c:pt idx="6">
                  <c:v>82.983000000000004</c:v>
                </c:pt>
                <c:pt idx="9">
                  <c:v>180.98150000000001</c:v>
                </c:pt>
                <c:pt idx="10">
                  <c:v>140.46200000000002</c:v>
                </c:pt>
              </c:numCache>
            </c:numRef>
          </c:val>
          <c:extLst>
            <c:ext xmlns:c16="http://schemas.microsoft.com/office/drawing/2014/chart" uri="{C3380CC4-5D6E-409C-BE32-E72D297353CC}">
              <c16:uniqueId val="{00000005-E56C-4FA0-9132-B248E576A885}"/>
            </c:ext>
          </c:extLst>
        </c:ser>
        <c:dLbls>
          <c:showLegendKey val="0"/>
          <c:showVal val="1"/>
          <c:showCatName val="0"/>
          <c:showSerName val="0"/>
          <c:showPercent val="0"/>
          <c:showBubbleSize val="0"/>
        </c:dLbls>
        <c:gapWidth val="150"/>
        <c:shape val="box"/>
        <c:axId val="868592352"/>
        <c:axId val="868599072"/>
        <c:axId val="0"/>
      </c:bar3DChart>
      <c:catAx>
        <c:axId val="868592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99072"/>
        <c:crosses val="autoZero"/>
        <c:auto val="1"/>
        <c:lblAlgn val="ctr"/>
        <c:lblOffset val="100"/>
        <c:noMultiLvlLbl val="0"/>
      </c:catAx>
      <c:valAx>
        <c:axId val="86859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9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[sales_data.xlsx]Region_Analysis!PivotTable3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Sales by Region and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Region_Analysis!$B$3:$B$5</c:f>
              <c:strCache>
                <c:ptCount val="1"/>
                <c:pt idx="0">
                  <c:v>Cancelled - Sum of Total Order Value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Region_Analysis!$B$6:$B$10</c:f>
              <c:numCache>
                <c:formatCode>"$"#,##0</c:formatCode>
                <c:ptCount val="4"/>
                <c:pt idx="0">
                  <c:v>149.89499999999998</c:v>
                </c:pt>
                <c:pt idx="1">
                  <c:v>121.47149999999999</c:v>
                </c:pt>
                <c:pt idx="2">
                  <c:v>185.94299999999998</c:v>
                </c:pt>
                <c:pt idx="3">
                  <c:v>53.939</c:v>
                </c:pt>
              </c:numCache>
            </c:numRef>
          </c:val>
          <c:extLst>
            <c:ext xmlns:c16="http://schemas.microsoft.com/office/drawing/2014/chart" uri="{C3380CC4-5D6E-409C-BE32-E72D297353CC}">
              <c16:uniqueId val="{00000000-7080-44CC-9608-73FB22258A5E}"/>
            </c:ext>
          </c:extLst>
        </c:ser>
        <c:ser>
          <c:idx val="1"/>
          <c:order val="1"/>
          <c:tx>
            <c:strRef>
              <c:f>Region_Analysis!$C$3:$C$5</c:f>
              <c:strCache>
                <c:ptCount val="1"/>
                <c:pt idx="0">
                  <c:v>Cancelled - Count of Order_ID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Region_Analysis!$C$6:$C$10</c:f>
              <c:numCache>
                <c:formatCode>General</c:formatCode>
                <c:ptCount val="4"/>
                <c:pt idx="0">
                  <c:v>2</c:v>
                </c:pt>
                <c:pt idx="1">
                  <c:v>1</c:v>
                </c:pt>
                <c:pt idx="2">
                  <c:v>3</c:v>
                </c:pt>
                <c:pt idx="3">
                  <c:v>1</c:v>
                </c:pt>
              </c:numCache>
            </c:numRef>
          </c:val>
          <c:extLst>
            <c:ext xmlns:c16="http://schemas.microsoft.com/office/drawing/2014/chart" uri="{C3380CC4-5D6E-409C-BE32-E72D297353CC}">
              <c16:uniqueId val="{00000001-7080-44CC-9608-73FB22258A5E}"/>
            </c:ext>
          </c:extLst>
        </c:ser>
        <c:ser>
          <c:idx val="2"/>
          <c:order val="2"/>
          <c:tx>
            <c:strRef>
              <c:f>Region_Analysis!$D$3:$D$5</c:f>
              <c:strCache>
                <c:ptCount val="1"/>
                <c:pt idx="0">
                  <c:v>Delivered - Sum of Total Order Value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Region_Analysis!$D$6:$D$10</c:f>
              <c:numCache>
                <c:formatCode>"$"#,##0</c:formatCode>
                <c:ptCount val="4"/>
                <c:pt idx="0">
                  <c:v>1974.0174999999999</c:v>
                </c:pt>
                <c:pt idx="1">
                  <c:v>1806.537</c:v>
                </c:pt>
                <c:pt idx="2">
                  <c:v>1176.3564999999999</c:v>
                </c:pt>
                <c:pt idx="3">
                  <c:v>1915.0004999999999</c:v>
                </c:pt>
              </c:numCache>
            </c:numRef>
          </c:val>
          <c:extLst>
            <c:ext xmlns:c16="http://schemas.microsoft.com/office/drawing/2014/chart" uri="{C3380CC4-5D6E-409C-BE32-E72D297353CC}">
              <c16:uniqueId val="{00000002-7080-44CC-9608-73FB22258A5E}"/>
            </c:ext>
          </c:extLst>
        </c:ser>
        <c:ser>
          <c:idx val="3"/>
          <c:order val="3"/>
          <c:tx>
            <c:strRef>
              <c:f>Region_Analysis!$E$3:$E$5</c:f>
              <c:strCache>
                <c:ptCount val="1"/>
                <c:pt idx="0">
                  <c:v>Delivered - Count of Order_ID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Region_Analysis!$E$6:$E$10</c:f>
              <c:numCache>
                <c:formatCode>General</c:formatCode>
                <c:ptCount val="4"/>
                <c:pt idx="0">
                  <c:v>20</c:v>
                </c:pt>
                <c:pt idx="1">
                  <c:v>21</c:v>
                </c:pt>
                <c:pt idx="2">
                  <c:v>17</c:v>
                </c:pt>
                <c:pt idx="3">
                  <c:v>22</c:v>
                </c:pt>
              </c:numCache>
            </c:numRef>
          </c:val>
          <c:extLst>
            <c:ext xmlns:c16="http://schemas.microsoft.com/office/drawing/2014/chart" uri="{C3380CC4-5D6E-409C-BE32-E72D297353CC}">
              <c16:uniqueId val="{00000003-7080-44CC-9608-73FB22258A5E}"/>
            </c:ext>
          </c:extLst>
        </c:ser>
        <c:ser>
          <c:idx val="4"/>
          <c:order val="4"/>
          <c:tx>
            <c:strRef>
              <c:f>Region_Analysis!$F$3:$F$5</c:f>
              <c:strCache>
                <c:ptCount val="1"/>
                <c:pt idx="0">
                  <c:v>Processing - Sum of Total Order Value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Region_Analysis!$F$6:$F$10</c:f>
              <c:numCache>
                <c:formatCode>"$"#,##0</c:formatCode>
                <c:ptCount val="4"/>
                <c:pt idx="0">
                  <c:v>252.90899999999999</c:v>
                </c:pt>
                <c:pt idx="1">
                  <c:v>196.1575</c:v>
                </c:pt>
                <c:pt idx="2">
                  <c:v>899.84799999999996</c:v>
                </c:pt>
                <c:pt idx="3">
                  <c:v>223.44500000000002</c:v>
                </c:pt>
              </c:numCache>
            </c:numRef>
          </c:val>
          <c:extLst>
            <c:ext xmlns:c16="http://schemas.microsoft.com/office/drawing/2014/chart" uri="{C3380CC4-5D6E-409C-BE32-E72D297353CC}">
              <c16:uniqueId val="{00000004-7080-44CC-9608-73FB22258A5E}"/>
            </c:ext>
          </c:extLst>
        </c:ser>
        <c:ser>
          <c:idx val="5"/>
          <c:order val="5"/>
          <c:tx>
            <c:strRef>
              <c:f>Region_Analysis!$G$3:$G$5</c:f>
              <c:strCache>
                <c:ptCount val="1"/>
                <c:pt idx="0">
                  <c:v>Processing - Count of Order_ID</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Region_Analysis!$G$6:$G$10</c:f>
              <c:numCache>
                <c:formatCode>General</c:formatCode>
                <c:ptCount val="4"/>
                <c:pt idx="0">
                  <c:v>3</c:v>
                </c:pt>
                <c:pt idx="1">
                  <c:v>3</c:v>
                </c:pt>
                <c:pt idx="2">
                  <c:v>5</c:v>
                </c:pt>
                <c:pt idx="3">
                  <c:v>2</c:v>
                </c:pt>
              </c:numCache>
            </c:numRef>
          </c:val>
          <c:extLst>
            <c:ext xmlns:c16="http://schemas.microsoft.com/office/drawing/2014/chart" uri="{C3380CC4-5D6E-409C-BE32-E72D297353CC}">
              <c16:uniqueId val="{00000005-7080-44CC-9608-73FB22258A5E}"/>
            </c:ext>
          </c:extLst>
        </c:ser>
        <c:dLbls>
          <c:showLegendKey val="0"/>
          <c:showVal val="1"/>
          <c:showCatName val="0"/>
          <c:showSerName val="0"/>
          <c:showPercent val="0"/>
          <c:showBubbleSize val="0"/>
        </c:dLbls>
        <c:gapWidth val="150"/>
        <c:shape val="box"/>
        <c:axId val="836636928"/>
        <c:axId val="836629248"/>
        <c:axId val="0"/>
      </c:bar3DChart>
      <c:catAx>
        <c:axId val="83663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29248"/>
        <c:crosses val="autoZero"/>
        <c:auto val="1"/>
        <c:lblAlgn val="ctr"/>
        <c:lblOffset val="100"/>
        <c:noMultiLvlLbl val="0"/>
      </c:catAx>
      <c:valAx>
        <c:axId val="83662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[sales_data.xlsx]Region_Analysis!PivotTable3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effectLst/>
              </a:rPr>
              <a:t>Total Sales by Region and Order Status</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Region_Analysis!$B$3:$B$5</c:f>
              <c:strCache>
                <c:ptCount val="1"/>
                <c:pt idx="0">
                  <c:v>Cancelled - Sum of Total Order Value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Region_Analysis!$B$6:$B$10</c:f>
              <c:numCache>
                <c:formatCode>"$"#,##0</c:formatCode>
                <c:ptCount val="4"/>
                <c:pt idx="0">
                  <c:v>149.89499999999998</c:v>
                </c:pt>
                <c:pt idx="1">
                  <c:v>121.47149999999999</c:v>
                </c:pt>
                <c:pt idx="2">
                  <c:v>185.94299999999998</c:v>
                </c:pt>
                <c:pt idx="3">
                  <c:v>53.939</c:v>
                </c:pt>
              </c:numCache>
            </c:numRef>
          </c:val>
          <c:extLst>
            <c:ext xmlns:c16="http://schemas.microsoft.com/office/drawing/2014/chart" uri="{C3380CC4-5D6E-409C-BE32-E72D297353CC}">
              <c16:uniqueId val="{00000000-6899-4FF4-AC84-0AA53E908EE0}"/>
            </c:ext>
          </c:extLst>
        </c:ser>
        <c:ser>
          <c:idx val="1"/>
          <c:order val="1"/>
          <c:tx>
            <c:strRef>
              <c:f>Region_Analysis!$C$3:$C$5</c:f>
              <c:strCache>
                <c:ptCount val="1"/>
                <c:pt idx="0">
                  <c:v>Cancelled - Count of Order_ID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Region_Analysis!$C$6:$C$10</c:f>
              <c:numCache>
                <c:formatCode>General</c:formatCode>
                <c:ptCount val="4"/>
                <c:pt idx="0">
                  <c:v>2</c:v>
                </c:pt>
                <c:pt idx="1">
                  <c:v>1</c:v>
                </c:pt>
                <c:pt idx="2">
                  <c:v>3</c:v>
                </c:pt>
                <c:pt idx="3">
                  <c:v>1</c:v>
                </c:pt>
              </c:numCache>
            </c:numRef>
          </c:val>
          <c:extLst>
            <c:ext xmlns:c16="http://schemas.microsoft.com/office/drawing/2014/chart" uri="{C3380CC4-5D6E-409C-BE32-E72D297353CC}">
              <c16:uniqueId val="{00000001-6899-4FF4-AC84-0AA53E908EE0}"/>
            </c:ext>
          </c:extLst>
        </c:ser>
        <c:ser>
          <c:idx val="2"/>
          <c:order val="2"/>
          <c:tx>
            <c:strRef>
              <c:f>Region_Analysis!$D$3:$D$5</c:f>
              <c:strCache>
                <c:ptCount val="1"/>
                <c:pt idx="0">
                  <c:v>Delivered - Sum of Total Order Value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Region_Analysis!$D$6:$D$10</c:f>
              <c:numCache>
                <c:formatCode>"$"#,##0</c:formatCode>
                <c:ptCount val="4"/>
                <c:pt idx="0">
                  <c:v>1974.0174999999999</c:v>
                </c:pt>
                <c:pt idx="1">
                  <c:v>1806.537</c:v>
                </c:pt>
                <c:pt idx="2">
                  <c:v>1176.3564999999999</c:v>
                </c:pt>
                <c:pt idx="3">
                  <c:v>1915.0004999999999</c:v>
                </c:pt>
              </c:numCache>
            </c:numRef>
          </c:val>
          <c:extLst>
            <c:ext xmlns:c16="http://schemas.microsoft.com/office/drawing/2014/chart" uri="{C3380CC4-5D6E-409C-BE32-E72D297353CC}">
              <c16:uniqueId val="{00000002-6899-4FF4-AC84-0AA53E908EE0}"/>
            </c:ext>
          </c:extLst>
        </c:ser>
        <c:ser>
          <c:idx val="3"/>
          <c:order val="3"/>
          <c:tx>
            <c:strRef>
              <c:f>Region_Analysis!$E$3:$E$5</c:f>
              <c:strCache>
                <c:ptCount val="1"/>
                <c:pt idx="0">
                  <c:v>Delivered - Count of Order_ID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Region_Analysis!$E$6:$E$10</c:f>
              <c:numCache>
                <c:formatCode>General</c:formatCode>
                <c:ptCount val="4"/>
                <c:pt idx="0">
                  <c:v>20</c:v>
                </c:pt>
                <c:pt idx="1">
                  <c:v>21</c:v>
                </c:pt>
                <c:pt idx="2">
                  <c:v>17</c:v>
                </c:pt>
                <c:pt idx="3">
                  <c:v>22</c:v>
                </c:pt>
              </c:numCache>
            </c:numRef>
          </c:val>
          <c:extLst>
            <c:ext xmlns:c16="http://schemas.microsoft.com/office/drawing/2014/chart" uri="{C3380CC4-5D6E-409C-BE32-E72D297353CC}">
              <c16:uniqueId val="{00000003-6899-4FF4-AC84-0AA53E908EE0}"/>
            </c:ext>
          </c:extLst>
        </c:ser>
        <c:ser>
          <c:idx val="4"/>
          <c:order val="4"/>
          <c:tx>
            <c:strRef>
              <c:f>Region_Analysis!$F$3:$F$5</c:f>
              <c:strCache>
                <c:ptCount val="1"/>
                <c:pt idx="0">
                  <c:v>Processing - Sum of Total Order Value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Region_Analysis!$F$6:$F$10</c:f>
              <c:numCache>
                <c:formatCode>"$"#,##0</c:formatCode>
                <c:ptCount val="4"/>
                <c:pt idx="0">
                  <c:v>252.90899999999999</c:v>
                </c:pt>
                <c:pt idx="1">
                  <c:v>196.1575</c:v>
                </c:pt>
                <c:pt idx="2">
                  <c:v>899.84799999999996</c:v>
                </c:pt>
                <c:pt idx="3">
                  <c:v>223.44500000000002</c:v>
                </c:pt>
              </c:numCache>
            </c:numRef>
          </c:val>
          <c:extLst>
            <c:ext xmlns:c16="http://schemas.microsoft.com/office/drawing/2014/chart" uri="{C3380CC4-5D6E-409C-BE32-E72D297353CC}">
              <c16:uniqueId val="{00000004-6899-4FF4-AC84-0AA53E908EE0}"/>
            </c:ext>
          </c:extLst>
        </c:ser>
        <c:ser>
          <c:idx val="5"/>
          <c:order val="5"/>
          <c:tx>
            <c:strRef>
              <c:f>Region_Analysis!$G$3:$G$5</c:f>
              <c:strCache>
                <c:ptCount val="1"/>
                <c:pt idx="0">
                  <c:v>Processing - Count of Order_ID</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Region_Analysis!$A$6:$A$10</c:f>
              <c:strCache>
                <c:ptCount val="4"/>
                <c:pt idx="0">
                  <c:v>North</c:v>
                </c:pt>
                <c:pt idx="1">
                  <c:v>South</c:v>
                </c:pt>
                <c:pt idx="2">
                  <c:v>East</c:v>
                </c:pt>
                <c:pt idx="3">
                  <c:v>West</c:v>
                </c:pt>
              </c:strCache>
            </c:strRef>
          </c:cat>
          <c:val>
            <c:numRef>
              <c:f>Region_Analysis!$G$6:$G$10</c:f>
              <c:numCache>
                <c:formatCode>General</c:formatCode>
                <c:ptCount val="4"/>
                <c:pt idx="0">
                  <c:v>3</c:v>
                </c:pt>
                <c:pt idx="1">
                  <c:v>3</c:v>
                </c:pt>
                <c:pt idx="2">
                  <c:v>5</c:v>
                </c:pt>
                <c:pt idx="3">
                  <c:v>2</c:v>
                </c:pt>
              </c:numCache>
            </c:numRef>
          </c:val>
          <c:extLst>
            <c:ext xmlns:c16="http://schemas.microsoft.com/office/drawing/2014/chart" uri="{C3380CC4-5D6E-409C-BE32-E72D297353CC}">
              <c16:uniqueId val="{00000005-6899-4FF4-AC84-0AA53E908EE0}"/>
            </c:ext>
          </c:extLst>
        </c:ser>
        <c:dLbls>
          <c:showLegendKey val="0"/>
          <c:showVal val="1"/>
          <c:showCatName val="0"/>
          <c:showSerName val="0"/>
          <c:showPercent val="0"/>
          <c:showBubbleSize val="0"/>
        </c:dLbls>
        <c:gapWidth val="150"/>
        <c:shape val="box"/>
        <c:axId val="836623488"/>
        <c:axId val="836631648"/>
        <c:axId val="0"/>
      </c:bar3DChart>
      <c:catAx>
        <c:axId val="83662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31648"/>
        <c:crosses val="autoZero"/>
        <c:auto val="1"/>
        <c:lblAlgn val="ctr"/>
        <c:lblOffset val="100"/>
        <c:noMultiLvlLbl val="0"/>
      </c:catAx>
      <c:valAx>
        <c:axId val="836631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[sales_data.xlsx]Product_Analysis!PivotTable5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Market Share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Product_Analysis!$B$3:$B$4</c:f>
              <c:strCache>
                <c:ptCount val="1"/>
                <c:pt idx="0">
                  <c:v>January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Product_Analysis!$B$5:$B$9</c:f>
              <c:numCache>
                <c:formatCode>0.00%</c:formatCode>
                <c:ptCount val="4"/>
                <c:pt idx="0">
                  <c:v>0.1704325124807255</c:v>
                </c:pt>
                <c:pt idx="1">
                  <c:v>0.20921945212032386</c:v>
                </c:pt>
                <c:pt idx="2">
                  <c:v>0.45117759016401776</c:v>
                </c:pt>
                <c:pt idx="3">
                  <c:v>0.1691704452349328</c:v>
                </c:pt>
              </c:numCache>
            </c:numRef>
          </c:val>
          <c:smooth val="0"/>
          <c:extLst>
            <c:ext xmlns:c16="http://schemas.microsoft.com/office/drawing/2014/chart" uri="{C3380CC4-5D6E-409C-BE32-E72D297353CC}">
              <c16:uniqueId val="{00000000-B64C-404A-81D7-4B90D741A566}"/>
            </c:ext>
          </c:extLst>
        </c:ser>
        <c:ser>
          <c:idx val="1"/>
          <c:order val="1"/>
          <c:tx>
            <c:strRef>
              <c:f>Product_Analysis!$C$3:$C$4</c:f>
              <c:strCache>
                <c:ptCount val="1"/>
                <c:pt idx="0">
                  <c:v>February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Product_Analysis!$C$5:$C$9</c:f>
              <c:numCache>
                <c:formatCode>0.00%</c:formatCode>
                <c:ptCount val="4"/>
                <c:pt idx="0">
                  <c:v>8.2633331188077405E-2</c:v>
                </c:pt>
                <c:pt idx="1">
                  <c:v>0.21037522838304606</c:v>
                </c:pt>
                <c:pt idx="2">
                  <c:v>0.50397341218626102</c:v>
                </c:pt>
                <c:pt idx="3">
                  <c:v>0.20301802824261536</c:v>
                </c:pt>
              </c:numCache>
            </c:numRef>
          </c:val>
          <c:smooth val="0"/>
          <c:extLst>
            <c:ext xmlns:c16="http://schemas.microsoft.com/office/drawing/2014/chart" uri="{C3380CC4-5D6E-409C-BE32-E72D297353CC}">
              <c16:uniqueId val="{00000001-B64C-404A-81D7-4B90D741A566}"/>
            </c:ext>
          </c:extLst>
        </c:ser>
        <c:ser>
          <c:idx val="2"/>
          <c:order val="2"/>
          <c:tx>
            <c:strRef>
              <c:f>Product_Analysis!$D$3:$D$4</c:f>
              <c:strCache>
                <c:ptCount val="1"/>
                <c:pt idx="0">
                  <c:v>March</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Product_Analysis!$D$5:$D$9</c:f>
              <c:numCache>
                <c:formatCode>0.00%</c:formatCode>
                <c:ptCount val="4"/>
                <c:pt idx="0">
                  <c:v>0.170719463514001</c:v>
                </c:pt>
                <c:pt idx="1">
                  <c:v>0.14168785794893324</c:v>
                </c:pt>
                <c:pt idx="2">
                  <c:v>0.38772836508293507</c:v>
                </c:pt>
                <c:pt idx="3">
                  <c:v>0.29986431345413062</c:v>
                </c:pt>
              </c:numCache>
            </c:numRef>
          </c:val>
          <c:smooth val="0"/>
          <c:extLst>
            <c:ext xmlns:c16="http://schemas.microsoft.com/office/drawing/2014/chart" uri="{C3380CC4-5D6E-409C-BE32-E72D297353CC}">
              <c16:uniqueId val="{00000002-B64C-404A-81D7-4B90D741A566}"/>
            </c:ext>
          </c:extLst>
        </c:ser>
        <c:ser>
          <c:idx val="3"/>
          <c:order val="3"/>
          <c:tx>
            <c:strRef>
              <c:f>Product_Analysis!$E$3:$E$4</c:f>
              <c:strCache>
                <c:ptCount val="1"/>
                <c:pt idx="0">
                  <c:v>April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Product_Analysis!$E$5:$E$9</c:f>
              <c:numCache>
                <c:formatCode>0.00%</c:formatCode>
                <c:ptCount val="4"/>
                <c:pt idx="0">
                  <c:v>0.17709928685434007</c:v>
                </c:pt>
                <c:pt idx="1">
                  <c:v>0.3095754636191459</c:v>
                </c:pt>
                <c:pt idx="2">
                  <c:v>0.3219630494733941</c:v>
                </c:pt>
                <c:pt idx="3">
                  <c:v>0.19136220005311977</c:v>
                </c:pt>
              </c:numCache>
            </c:numRef>
          </c:val>
          <c:smooth val="0"/>
          <c:extLst>
            <c:ext xmlns:c16="http://schemas.microsoft.com/office/drawing/2014/chart" uri="{C3380CC4-5D6E-409C-BE32-E72D297353CC}">
              <c16:uniqueId val="{00000003-B64C-404A-81D7-4B90D741A566}"/>
            </c:ext>
          </c:extLst>
        </c:ser>
        <c:ser>
          <c:idx val="4"/>
          <c:order val="4"/>
          <c:tx>
            <c:strRef>
              <c:f>Product_Analysis!$F$3:$F$4</c:f>
              <c:strCache>
                <c:ptCount val="1"/>
                <c:pt idx="0">
                  <c:v>May</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Product_Analysis!$F$5:$F$9</c:f>
              <c:numCache>
                <c:formatCode>0.00%</c:formatCode>
                <c:ptCount val="4"/>
                <c:pt idx="0">
                  <c:v>0.11250531850230977</c:v>
                </c:pt>
                <c:pt idx="1">
                  <c:v>0.17352516031485535</c:v>
                </c:pt>
                <c:pt idx="2">
                  <c:v>0.40492037442256262</c:v>
                </c:pt>
                <c:pt idx="3">
                  <c:v>0.30904914676027234</c:v>
                </c:pt>
              </c:numCache>
            </c:numRef>
          </c:val>
          <c:smooth val="0"/>
          <c:extLst>
            <c:ext xmlns:c16="http://schemas.microsoft.com/office/drawing/2014/chart" uri="{C3380CC4-5D6E-409C-BE32-E72D297353CC}">
              <c16:uniqueId val="{00000004-B64C-404A-81D7-4B90D741A566}"/>
            </c:ext>
          </c:extLst>
        </c:ser>
        <c:ser>
          <c:idx val="5"/>
          <c:order val="5"/>
          <c:tx>
            <c:strRef>
              <c:f>Product_Analysis!$G$3:$G$4</c:f>
              <c:strCache>
                <c:ptCount val="1"/>
                <c:pt idx="0">
                  <c:v>June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Product_Analysis!$G$5:$G$9</c:f>
              <c:numCache>
                <c:formatCode>0.00%</c:formatCode>
                <c:ptCount val="4"/>
                <c:pt idx="0">
                  <c:v>0.18846129108809007</c:v>
                </c:pt>
                <c:pt idx="1">
                  <c:v>0.16627910071391977</c:v>
                </c:pt>
                <c:pt idx="2">
                  <c:v>0.35423971647249552</c:v>
                </c:pt>
                <c:pt idx="3">
                  <c:v>0.29101989172549469</c:v>
                </c:pt>
              </c:numCache>
            </c:numRef>
          </c:val>
          <c:smooth val="0"/>
          <c:extLst>
            <c:ext xmlns:c16="http://schemas.microsoft.com/office/drawing/2014/chart" uri="{C3380CC4-5D6E-409C-BE32-E72D297353CC}">
              <c16:uniqueId val="{00000005-B64C-404A-81D7-4B90D741A566}"/>
            </c:ext>
          </c:extLst>
        </c:ser>
        <c:ser>
          <c:idx val="6"/>
          <c:order val="6"/>
          <c:tx>
            <c:strRef>
              <c:f>Product_Analysis!$H$3:$H$4</c:f>
              <c:strCache>
                <c:ptCount val="1"/>
                <c:pt idx="0">
                  <c:v>July</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Product_Analysis!$H$5:$H$9</c:f>
              <c:numCache>
                <c:formatCode>0.00%</c:formatCode>
                <c:ptCount val="4"/>
                <c:pt idx="0">
                  <c:v>0.20855415373501793</c:v>
                </c:pt>
                <c:pt idx="1">
                  <c:v>0.1850362910252599</c:v>
                </c:pt>
                <c:pt idx="2">
                  <c:v>0.44608263753173993</c:v>
                </c:pt>
                <c:pt idx="3">
                  <c:v>0.16032691770798221</c:v>
                </c:pt>
              </c:numCache>
            </c:numRef>
          </c:val>
          <c:smooth val="0"/>
          <c:extLst>
            <c:ext xmlns:c16="http://schemas.microsoft.com/office/drawing/2014/chart" uri="{C3380CC4-5D6E-409C-BE32-E72D297353CC}">
              <c16:uniqueId val="{00000006-B64C-404A-81D7-4B90D741A566}"/>
            </c:ext>
          </c:extLst>
        </c:ser>
        <c:ser>
          <c:idx val="7"/>
          <c:order val="7"/>
          <c:tx>
            <c:strRef>
              <c:f>Product_Analysis!$I$3:$I$4</c:f>
              <c:strCache>
                <c:ptCount val="1"/>
                <c:pt idx="0">
                  <c:v>August</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Product_Analysis!$I$5:$I$9</c:f>
              <c:numCache>
                <c:formatCode>0.00%</c:formatCode>
                <c:ptCount val="4"/>
                <c:pt idx="0">
                  <c:v>4.6970993451176828E-2</c:v>
                </c:pt>
                <c:pt idx="1">
                  <c:v>0.1424046550786526</c:v>
                </c:pt>
                <c:pt idx="2">
                  <c:v>0.64852264642969271</c:v>
                </c:pt>
                <c:pt idx="3">
                  <c:v>0.16210170504047783</c:v>
                </c:pt>
              </c:numCache>
            </c:numRef>
          </c:val>
          <c:smooth val="0"/>
          <c:extLst>
            <c:ext xmlns:c16="http://schemas.microsoft.com/office/drawing/2014/chart" uri="{C3380CC4-5D6E-409C-BE32-E72D297353CC}">
              <c16:uniqueId val="{00000007-B64C-404A-81D7-4B90D741A566}"/>
            </c:ext>
          </c:extLst>
        </c:ser>
        <c:ser>
          <c:idx val="8"/>
          <c:order val="8"/>
          <c:tx>
            <c:strRef>
              <c:f>Product_Analysis!$J$3:$J$4</c:f>
              <c:strCache>
                <c:ptCount val="1"/>
                <c:pt idx="0">
                  <c:v>September</c:v>
                </c:pt>
              </c:strCache>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Product_Analysis!$J$5:$J$9</c:f>
              <c:numCache>
                <c:formatCode>0.00%</c:formatCode>
                <c:ptCount val="4"/>
                <c:pt idx="0">
                  <c:v>0.25414614049175555</c:v>
                </c:pt>
                <c:pt idx="1">
                  <c:v>0.22316367825698058</c:v>
                </c:pt>
                <c:pt idx="2">
                  <c:v>0.38175370939551312</c:v>
                </c:pt>
                <c:pt idx="3">
                  <c:v>0.14093647185575078</c:v>
                </c:pt>
              </c:numCache>
            </c:numRef>
          </c:val>
          <c:smooth val="0"/>
          <c:extLst>
            <c:ext xmlns:c16="http://schemas.microsoft.com/office/drawing/2014/chart" uri="{C3380CC4-5D6E-409C-BE32-E72D297353CC}">
              <c16:uniqueId val="{00000008-B64C-404A-81D7-4B90D741A566}"/>
            </c:ext>
          </c:extLst>
        </c:ser>
        <c:dLbls>
          <c:dLblPos val="t"/>
          <c:showLegendKey val="0"/>
          <c:showVal val="1"/>
          <c:showCatName val="0"/>
          <c:showSerName val="0"/>
          <c:showPercent val="0"/>
          <c:showBubbleSize val="0"/>
        </c:dLbls>
        <c:smooth val="0"/>
        <c:axId val="445153856"/>
        <c:axId val="445154336"/>
      </c:lineChart>
      <c:catAx>
        <c:axId val="44515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54336"/>
        <c:crosses val="autoZero"/>
        <c:auto val="1"/>
        <c:lblAlgn val="ctr"/>
        <c:lblOffset val="100"/>
        <c:noMultiLvlLbl val="0"/>
      </c:catAx>
      <c:valAx>
        <c:axId val="445154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5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[sales_data.xlsx]Product_Analysis!PivotTable5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Market Share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Product_Analysis!$B$3:$B$4</c:f>
              <c:strCache>
                <c:ptCount val="1"/>
                <c:pt idx="0">
                  <c:v>January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Product_Analysis!$B$5:$B$9</c:f>
              <c:numCache>
                <c:formatCode>0.00%</c:formatCode>
                <c:ptCount val="4"/>
                <c:pt idx="0">
                  <c:v>0.1704325124807255</c:v>
                </c:pt>
                <c:pt idx="1">
                  <c:v>0.20921945212032386</c:v>
                </c:pt>
                <c:pt idx="2">
                  <c:v>0.45117759016401776</c:v>
                </c:pt>
                <c:pt idx="3">
                  <c:v>0.1691704452349328</c:v>
                </c:pt>
              </c:numCache>
            </c:numRef>
          </c:val>
          <c:extLst>
            <c:ext xmlns:c16="http://schemas.microsoft.com/office/drawing/2014/chart" uri="{C3380CC4-5D6E-409C-BE32-E72D297353CC}">
              <c16:uniqueId val="{00000000-3837-422E-A73E-6E5C727AE5C9}"/>
            </c:ext>
          </c:extLst>
        </c:ser>
        <c:ser>
          <c:idx val="1"/>
          <c:order val="1"/>
          <c:tx>
            <c:strRef>
              <c:f>Product_Analysis!$C$3:$C$4</c:f>
              <c:strCache>
                <c:ptCount val="1"/>
                <c:pt idx="0">
                  <c:v>February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Product_Analysis!$C$5:$C$9</c:f>
              <c:numCache>
                <c:formatCode>0.00%</c:formatCode>
                <c:ptCount val="4"/>
                <c:pt idx="0">
                  <c:v>8.2633331188077405E-2</c:v>
                </c:pt>
                <c:pt idx="1">
                  <c:v>0.21037522838304606</c:v>
                </c:pt>
                <c:pt idx="2">
                  <c:v>0.50397341218626102</c:v>
                </c:pt>
                <c:pt idx="3">
                  <c:v>0.20301802824261536</c:v>
                </c:pt>
              </c:numCache>
            </c:numRef>
          </c:val>
          <c:extLst>
            <c:ext xmlns:c16="http://schemas.microsoft.com/office/drawing/2014/chart" uri="{C3380CC4-5D6E-409C-BE32-E72D297353CC}">
              <c16:uniqueId val="{00000001-3837-422E-A73E-6E5C727AE5C9}"/>
            </c:ext>
          </c:extLst>
        </c:ser>
        <c:ser>
          <c:idx val="2"/>
          <c:order val="2"/>
          <c:tx>
            <c:strRef>
              <c:f>Product_Analysis!$D$3:$D$4</c:f>
              <c:strCache>
                <c:ptCount val="1"/>
                <c:pt idx="0">
                  <c:v>March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Product_Analysis!$D$5:$D$9</c:f>
              <c:numCache>
                <c:formatCode>0.00%</c:formatCode>
                <c:ptCount val="4"/>
                <c:pt idx="0">
                  <c:v>0.170719463514001</c:v>
                </c:pt>
                <c:pt idx="1">
                  <c:v>0.14168785794893324</c:v>
                </c:pt>
                <c:pt idx="2">
                  <c:v>0.38772836508293507</c:v>
                </c:pt>
                <c:pt idx="3">
                  <c:v>0.29986431345413062</c:v>
                </c:pt>
              </c:numCache>
            </c:numRef>
          </c:val>
          <c:extLst>
            <c:ext xmlns:c16="http://schemas.microsoft.com/office/drawing/2014/chart" uri="{C3380CC4-5D6E-409C-BE32-E72D297353CC}">
              <c16:uniqueId val="{00000002-3837-422E-A73E-6E5C727AE5C9}"/>
            </c:ext>
          </c:extLst>
        </c:ser>
        <c:ser>
          <c:idx val="3"/>
          <c:order val="3"/>
          <c:tx>
            <c:strRef>
              <c:f>Product_Analysis!$E$3:$E$4</c:f>
              <c:strCache>
                <c:ptCount val="1"/>
                <c:pt idx="0">
                  <c:v>April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Product_Analysis!$E$5:$E$9</c:f>
              <c:numCache>
                <c:formatCode>0.00%</c:formatCode>
                <c:ptCount val="4"/>
                <c:pt idx="0">
                  <c:v>0.17709928685434007</c:v>
                </c:pt>
                <c:pt idx="1">
                  <c:v>0.3095754636191459</c:v>
                </c:pt>
                <c:pt idx="2">
                  <c:v>0.3219630494733941</c:v>
                </c:pt>
                <c:pt idx="3">
                  <c:v>0.19136220005311977</c:v>
                </c:pt>
              </c:numCache>
            </c:numRef>
          </c:val>
          <c:extLst>
            <c:ext xmlns:c16="http://schemas.microsoft.com/office/drawing/2014/chart" uri="{C3380CC4-5D6E-409C-BE32-E72D297353CC}">
              <c16:uniqueId val="{00000003-3837-422E-A73E-6E5C727AE5C9}"/>
            </c:ext>
          </c:extLst>
        </c:ser>
        <c:ser>
          <c:idx val="4"/>
          <c:order val="4"/>
          <c:tx>
            <c:strRef>
              <c:f>Product_Analysis!$F$3:$F$4</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Product_Analysis!$F$5:$F$9</c:f>
              <c:numCache>
                <c:formatCode>0.00%</c:formatCode>
                <c:ptCount val="4"/>
                <c:pt idx="0">
                  <c:v>0.11250531850230977</c:v>
                </c:pt>
                <c:pt idx="1">
                  <c:v>0.17352516031485535</c:v>
                </c:pt>
                <c:pt idx="2">
                  <c:v>0.40492037442256262</c:v>
                </c:pt>
                <c:pt idx="3">
                  <c:v>0.30904914676027234</c:v>
                </c:pt>
              </c:numCache>
            </c:numRef>
          </c:val>
          <c:extLst>
            <c:ext xmlns:c16="http://schemas.microsoft.com/office/drawing/2014/chart" uri="{C3380CC4-5D6E-409C-BE32-E72D297353CC}">
              <c16:uniqueId val="{00000004-3837-422E-A73E-6E5C727AE5C9}"/>
            </c:ext>
          </c:extLst>
        </c:ser>
        <c:ser>
          <c:idx val="5"/>
          <c:order val="5"/>
          <c:tx>
            <c:strRef>
              <c:f>Product_Analysis!$G$3:$G$4</c:f>
              <c:strCache>
                <c:ptCount val="1"/>
                <c:pt idx="0">
                  <c:v>June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Product_Analysis!$G$5:$G$9</c:f>
              <c:numCache>
                <c:formatCode>0.00%</c:formatCode>
                <c:ptCount val="4"/>
                <c:pt idx="0">
                  <c:v>0.18846129108809007</c:v>
                </c:pt>
                <c:pt idx="1">
                  <c:v>0.16627910071391977</c:v>
                </c:pt>
                <c:pt idx="2">
                  <c:v>0.35423971647249552</c:v>
                </c:pt>
                <c:pt idx="3">
                  <c:v>0.29101989172549469</c:v>
                </c:pt>
              </c:numCache>
            </c:numRef>
          </c:val>
          <c:extLst>
            <c:ext xmlns:c16="http://schemas.microsoft.com/office/drawing/2014/chart" uri="{C3380CC4-5D6E-409C-BE32-E72D297353CC}">
              <c16:uniqueId val="{00000005-3837-422E-A73E-6E5C727AE5C9}"/>
            </c:ext>
          </c:extLst>
        </c:ser>
        <c:ser>
          <c:idx val="6"/>
          <c:order val="6"/>
          <c:tx>
            <c:strRef>
              <c:f>Product_Analysis!$H$3:$H$4</c:f>
              <c:strCache>
                <c:ptCount val="1"/>
                <c:pt idx="0">
                  <c:v>July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Product_Analysis!$H$5:$H$9</c:f>
              <c:numCache>
                <c:formatCode>0.00%</c:formatCode>
                <c:ptCount val="4"/>
                <c:pt idx="0">
                  <c:v>0.20855415373501793</c:v>
                </c:pt>
                <c:pt idx="1">
                  <c:v>0.1850362910252599</c:v>
                </c:pt>
                <c:pt idx="2">
                  <c:v>0.44608263753173993</c:v>
                </c:pt>
                <c:pt idx="3">
                  <c:v>0.16032691770798221</c:v>
                </c:pt>
              </c:numCache>
            </c:numRef>
          </c:val>
          <c:extLst>
            <c:ext xmlns:c16="http://schemas.microsoft.com/office/drawing/2014/chart" uri="{C3380CC4-5D6E-409C-BE32-E72D297353CC}">
              <c16:uniqueId val="{00000006-3837-422E-A73E-6E5C727AE5C9}"/>
            </c:ext>
          </c:extLst>
        </c:ser>
        <c:ser>
          <c:idx val="7"/>
          <c:order val="7"/>
          <c:tx>
            <c:strRef>
              <c:f>Product_Analysis!$I$3:$I$4</c:f>
              <c:strCache>
                <c:ptCount val="1"/>
                <c:pt idx="0">
                  <c:v>August</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Product_Analysis!$I$5:$I$9</c:f>
              <c:numCache>
                <c:formatCode>0.00%</c:formatCode>
                <c:ptCount val="4"/>
                <c:pt idx="0">
                  <c:v>4.6970993451176828E-2</c:v>
                </c:pt>
                <c:pt idx="1">
                  <c:v>0.1424046550786526</c:v>
                </c:pt>
                <c:pt idx="2">
                  <c:v>0.64852264642969271</c:v>
                </c:pt>
                <c:pt idx="3">
                  <c:v>0.16210170504047783</c:v>
                </c:pt>
              </c:numCache>
            </c:numRef>
          </c:val>
          <c:extLst>
            <c:ext xmlns:c16="http://schemas.microsoft.com/office/drawing/2014/chart" uri="{C3380CC4-5D6E-409C-BE32-E72D297353CC}">
              <c16:uniqueId val="{00000007-3837-422E-A73E-6E5C727AE5C9}"/>
            </c:ext>
          </c:extLst>
        </c:ser>
        <c:ser>
          <c:idx val="8"/>
          <c:order val="8"/>
          <c:tx>
            <c:strRef>
              <c:f>Product_Analysis!$J$3:$J$4</c:f>
              <c:strCache>
                <c:ptCount val="1"/>
                <c:pt idx="0">
                  <c:v>September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Product_Analysis!$A$5:$A$9</c:f>
              <c:strCache>
                <c:ptCount val="4"/>
                <c:pt idx="0">
                  <c:v>Books</c:v>
                </c:pt>
                <c:pt idx="1">
                  <c:v>Clothing</c:v>
                </c:pt>
                <c:pt idx="2">
                  <c:v>Electronics</c:v>
                </c:pt>
                <c:pt idx="3">
                  <c:v>Home &amp; Garden</c:v>
                </c:pt>
              </c:strCache>
            </c:strRef>
          </c:cat>
          <c:val>
            <c:numRef>
              <c:f>Product_Analysis!$J$5:$J$9</c:f>
              <c:numCache>
                <c:formatCode>0.00%</c:formatCode>
                <c:ptCount val="4"/>
                <c:pt idx="0">
                  <c:v>0.25414614049175555</c:v>
                </c:pt>
                <c:pt idx="1">
                  <c:v>0.22316367825698058</c:v>
                </c:pt>
                <c:pt idx="2">
                  <c:v>0.38175370939551312</c:v>
                </c:pt>
                <c:pt idx="3">
                  <c:v>0.14093647185575078</c:v>
                </c:pt>
              </c:numCache>
            </c:numRef>
          </c:val>
          <c:extLst>
            <c:ext xmlns:c16="http://schemas.microsoft.com/office/drawing/2014/chart" uri="{C3380CC4-5D6E-409C-BE32-E72D297353CC}">
              <c16:uniqueId val="{00000008-3837-422E-A73E-6E5C727AE5C9}"/>
            </c:ext>
          </c:extLst>
        </c:ser>
        <c:dLbls>
          <c:dLblPos val="outEnd"/>
          <c:showLegendKey val="0"/>
          <c:showVal val="1"/>
          <c:showCatName val="0"/>
          <c:showSerName val="0"/>
          <c:showPercent val="0"/>
          <c:showBubbleSize val="0"/>
        </c:dLbls>
        <c:gapWidth val="219"/>
        <c:overlap val="-27"/>
        <c:axId val="868545792"/>
        <c:axId val="868550592"/>
      </c:barChart>
      <c:catAx>
        <c:axId val="86854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50592"/>
        <c:crosses val="autoZero"/>
        <c:auto val="1"/>
        <c:lblAlgn val="ctr"/>
        <c:lblOffset val="100"/>
        <c:noMultiLvlLbl val="0"/>
      </c:catAx>
      <c:valAx>
        <c:axId val="8685505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[sales_data.xlsx]Customer_Analysis!PivotTable6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0" i="0">
                <a:effectLst/>
              </a:rPr>
              <a:t>Customer Segmentation by Revenue Tier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Customer_Analysis!$B$3:$B$5</c:f>
              <c:strCache>
                <c:ptCount val="1"/>
                <c:pt idx="0">
                  <c:v>Cancelled - Count of Customer_Name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Customer_Analysis!$B$6:$B$20</c:f>
              <c:numCache>
                <c:formatCode>General</c:formatCode>
                <c:ptCount val="11"/>
                <c:pt idx="3">
                  <c:v>2</c:v>
                </c:pt>
                <c:pt idx="5">
                  <c:v>3</c:v>
                </c:pt>
                <c:pt idx="6">
                  <c:v>1</c:v>
                </c:pt>
                <c:pt idx="8">
                  <c:v>1</c:v>
                </c:pt>
              </c:numCache>
            </c:numRef>
          </c:val>
          <c:extLst>
            <c:ext xmlns:c16="http://schemas.microsoft.com/office/drawing/2014/chart" uri="{C3380CC4-5D6E-409C-BE32-E72D297353CC}">
              <c16:uniqueId val="{00000000-3620-4A48-8F72-0488F48D8438}"/>
            </c:ext>
          </c:extLst>
        </c:ser>
        <c:ser>
          <c:idx val="1"/>
          <c:order val="1"/>
          <c:tx>
            <c:strRef>
              <c:f>Customer_Analysis!$C$3:$C$5</c:f>
              <c:strCache>
                <c:ptCount val="1"/>
                <c:pt idx="0">
                  <c:v>Cancelled - Sum of Total Order Value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Customer_Analysis!$C$6:$C$20</c:f>
              <c:numCache>
                <c:formatCode>General</c:formatCode>
                <c:ptCount val="11"/>
                <c:pt idx="3">
                  <c:v>149.89499999999998</c:v>
                </c:pt>
                <c:pt idx="5">
                  <c:v>185.94299999999998</c:v>
                </c:pt>
                <c:pt idx="6">
                  <c:v>53.939</c:v>
                </c:pt>
                <c:pt idx="8">
                  <c:v>121.47149999999999</c:v>
                </c:pt>
              </c:numCache>
            </c:numRef>
          </c:val>
          <c:extLst>
            <c:ext xmlns:c16="http://schemas.microsoft.com/office/drawing/2014/chart" uri="{C3380CC4-5D6E-409C-BE32-E72D297353CC}">
              <c16:uniqueId val="{00000001-3620-4A48-8F72-0488F48D8438}"/>
            </c:ext>
          </c:extLst>
        </c:ser>
        <c:ser>
          <c:idx val="2"/>
          <c:order val="2"/>
          <c:tx>
            <c:strRef>
              <c:f>Customer_Analysis!$D$3:$D$5</c:f>
              <c:strCache>
                <c:ptCount val="1"/>
                <c:pt idx="0">
                  <c:v>Delivered - Count of Customer_Name</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Customer_Analysis!$D$6:$D$20</c:f>
              <c:numCache>
                <c:formatCode>General</c:formatCode>
                <c:ptCount val="11"/>
                <c:pt idx="0">
                  <c:v>2</c:v>
                </c:pt>
                <c:pt idx="1">
                  <c:v>1</c:v>
                </c:pt>
                <c:pt idx="3">
                  <c:v>15</c:v>
                </c:pt>
                <c:pt idx="4">
                  <c:v>16</c:v>
                </c:pt>
                <c:pt idx="5">
                  <c:v>14</c:v>
                </c:pt>
                <c:pt idx="6">
                  <c:v>15</c:v>
                </c:pt>
                <c:pt idx="7">
                  <c:v>3</c:v>
                </c:pt>
                <c:pt idx="8">
                  <c:v>4</c:v>
                </c:pt>
                <c:pt idx="9">
                  <c:v>3</c:v>
                </c:pt>
                <c:pt idx="10">
                  <c:v>7</c:v>
                </c:pt>
              </c:numCache>
            </c:numRef>
          </c:val>
          <c:extLst>
            <c:ext xmlns:c16="http://schemas.microsoft.com/office/drawing/2014/chart" uri="{C3380CC4-5D6E-409C-BE32-E72D297353CC}">
              <c16:uniqueId val="{00000002-3620-4A48-8F72-0488F48D8438}"/>
            </c:ext>
          </c:extLst>
        </c:ser>
        <c:ser>
          <c:idx val="3"/>
          <c:order val="3"/>
          <c:tx>
            <c:strRef>
              <c:f>Customer_Analysis!$E$3:$E$5</c:f>
              <c:strCache>
                <c:ptCount val="1"/>
                <c:pt idx="0">
                  <c:v>Delivered - Sum of Total Order Value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Customer_Analysis!$E$6:$E$20</c:f>
              <c:numCache>
                <c:formatCode>General</c:formatCode>
                <c:ptCount val="11"/>
                <c:pt idx="0">
                  <c:v>625.96299999999997</c:v>
                </c:pt>
                <c:pt idx="1">
                  <c:v>227.48150000000001</c:v>
                </c:pt>
                <c:pt idx="3">
                  <c:v>1000.6109999999999</c:v>
                </c:pt>
                <c:pt idx="4">
                  <c:v>1087.6575</c:v>
                </c:pt>
                <c:pt idx="5">
                  <c:v>825.44049999999993</c:v>
                </c:pt>
                <c:pt idx="6">
                  <c:v>986.16249999999991</c:v>
                </c:pt>
                <c:pt idx="7">
                  <c:v>347.44350000000003</c:v>
                </c:pt>
                <c:pt idx="8">
                  <c:v>491.39800000000002</c:v>
                </c:pt>
                <c:pt idx="9">
                  <c:v>350.91599999999994</c:v>
                </c:pt>
                <c:pt idx="10">
                  <c:v>928.83800000000008</c:v>
                </c:pt>
              </c:numCache>
            </c:numRef>
          </c:val>
          <c:extLst>
            <c:ext xmlns:c16="http://schemas.microsoft.com/office/drawing/2014/chart" uri="{C3380CC4-5D6E-409C-BE32-E72D297353CC}">
              <c16:uniqueId val="{00000003-3620-4A48-8F72-0488F48D8438}"/>
            </c:ext>
          </c:extLst>
        </c:ser>
        <c:ser>
          <c:idx val="4"/>
          <c:order val="4"/>
          <c:tx>
            <c:strRef>
              <c:f>Customer_Analysis!$F$3:$F$5</c:f>
              <c:strCache>
                <c:ptCount val="1"/>
                <c:pt idx="0">
                  <c:v>Processing - Count of Customer_Name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Customer_Analysis!$F$6:$F$20</c:f>
              <c:numCache>
                <c:formatCode>General</c:formatCode>
                <c:ptCount val="11"/>
                <c:pt idx="2">
                  <c:v>1</c:v>
                </c:pt>
                <c:pt idx="3">
                  <c:v>3</c:v>
                </c:pt>
                <c:pt idx="4">
                  <c:v>3</c:v>
                </c:pt>
                <c:pt idx="5">
                  <c:v>3</c:v>
                </c:pt>
                <c:pt idx="6">
                  <c:v>1</c:v>
                </c:pt>
                <c:pt idx="9">
                  <c:v>1</c:v>
                </c:pt>
                <c:pt idx="10">
                  <c:v>1</c:v>
                </c:pt>
              </c:numCache>
            </c:numRef>
          </c:val>
          <c:extLst>
            <c:ext xmlns:c16="http://schemas.microsoft.com/office/drawing/2014/chart" uri="{C3380CC4-5D6E-409C-BE32-E72D297353CC}">
              <c16:uniqueId val="{00000004-3620-4A48-8F72-0488F48D8438}"/>
            </c:ext>
          </c:extLst>
        </c:ser>
        <c:ser>
          <c:idx val="5"/>
          <c:order val="5"/>
          <c:tx>
            <c:strRef>
              <c:f>Customer_Analysis!$G$3:$G$5</c:f>
              <c:strCache>
                <c:ptCount val="1"/>
                <c:pt idx="0">
                  <c:v>Processing - Sum of Total Order Value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Customer_Analysis!$A$6:$A$20</c:f>
              <c:multiLvlStrCache>
                <c:ptCount val="11"/>
                <c:lvl>
                  <c:pt idx="0">
                    <c:v>North</c:v>
                  </c:pt>
                  <c:pt idx="1">
                    <c:v>South</c:v>
                  </c:pt>
                  <c:pt idx="2">
                    <c:v>East</c:v>
                  </c:pt>
                  <c:pt idx="3">
                    <c:v>North</c:v>
                  </c:pt>
                  <c:pt idx="4">
                    <c:v>South</c:v>
                  </c:pt>
                  <c:pt idx="5">
                    <c:v>East</c:v>
                  </c:pt>
                  <c:pt idx="6">
                    <c:v>West</c:v>
                  </c:pt>
                  <c:pt idx="7">
                    <c:v>North</c:v>
                  </c:pt>
                  <c:pt idx="8">
                    <c:v>South</c:v>
                  </c:pt>
                  <c:pt idx="9">
                    <c:v>East</c:v>
                  </c:pt>
                  <c:pt idx="10">
                    <c:v>West</c:v>
                  </c:pt>
                </c:lvl>
                <c:lvl>
                  <c:pt idx="0">
                    <c:v>High Value</c:v>
                  </c:pt>
                  <c:pt idx="3">
                    <c:v>Low Value</c:v>
                  </c:pt>
                  <c:pt idx="7">
                    <c:v>Medium Value</c:v>
                  </c:pt>
                </c:lvl>
              </c:multiLvlStrCache>
            </c:multiLvlStrRef>
          </c:cat>
          <c:val>
            <c:numRef>
              <c:f>Customer_Analysis!$G$6:$G$20</c:f>
              <c:numCache>
                <c:formatCode>General</c:formatCode>
                <c:ptCount val="11"/>
                <c:pt idx="2">
                  <c:v>474.98099999999999</c:v>
                </c:pt>
                <c:pt idx="3">
                  <c:v>252.90899999999999</c:v>
                </c:pt>
                <c:pt idx="4">
                  <c:v>196.1575</c:v>
                </c:pt>
                <c:pt idx="5">
                  <c:v>243.88549999999998</c:v>
                </c:pt>
                <c:pt idx="6">
                  <c:v>82.983000000000004</c:v>
                </c:pt>
                <c:pt idx="9">
                  <c:v>180.98150000000001</c:v>
                </c:pt>
                <c:pt idx="10">
                  <c:v>140.46200000000002</c:v>
                </c:pt>
              </c:numCache>
            </c:numRef>
          </c:val>
          <c:extLst>
            <c:ext xmlns:c16="http://schemas.microsoft.com/office/drawing/2014/chart" uri="{C3380CC4-5D6E-409C-BE32-E72D297353CC}">
              <c16:uniqueId val="{00000005-3620-4A48-8F72-0488F48D8438}"/>
            </c:ext>
          </c:extLst>
        </c:ser>
        <c:dLbls>
          <c:showLegendKey val="0"/>
          <c:showVal val="1"/>
          <c:showCatName val="0"/>
          <c:showSerName val="0"/>
          <c:showPercent val="0"/>
          <c:showBubbleSize val="0"/>
        </c:dLbls>
        <c:gapWidth val="150"/>
        <c:shape val="box"/>
        <c:axId val="868592352"/>
        <c:axId val="868599072"/>
        <c:axId val="0"/>
      </c:bar3DChart>
      <c:catAx>
        <c:axId val="868592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99072"/>
        <c:crosses val="autoZero"/>
        <c:auto val="1"/>
        <c:lblAlgn val="ctr"/>
        <c:lblOffset val="100"/>
        <c:noMultiLvlLbl val="0"/>
      </c:catAx>
      <c:valAx>
        <c:axId val="86859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9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sales_data!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45720</xdr:colOff>
      <xdr:row>5</xdr:row>
      <xdr:rowOff>116840</xdr:rowOff>
    </xdr:from>
    <xdr:to>
      <xdr:col>24</xdr:col>
      <xdr:colOff>15551</xdr:colOff>
      <xdr:row>18</xdr:row>
      <xdr:rowOff>112889</xdr:rowOff>
    </xdr:to>
    <xdr:sp macro="" textlink="">
      <xdr:nvSpPr>
        <xdr:cNvPr id="2" name="TextBox 1">
          <a:extLst>
            <a:ext uri="{FF2B5EF4-FFF2-40B4-BE49-F238E27FC236}">
              <a16:creationId xmlns:a16="http://schemas.microsoft.com/office/drawing/2014/main" id="{35FD1764-C0AC-6F0F-638E-F02F85CFA8A7}"/>
            </a:ext>
          </a:extLst>
        </xdr:cNvPr>
        <xdr:cNvSpPr txBox="1"/>
      </xdr:nvSpPr>
      <xdr:spPr>
        <a:xfrm>
          <a:off x="45720" y="1010544"/>
          <a:ext cx="14645387" cy="23196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dk1"/>
              </a:solidFill>
              <a:effectLst/>
              <a:latin typeface="+mn-lt"/>
              <a:ea typeface="+mn-ea"/>
              <a:cs typeface="+mn-cs"/>
            </a:rPr>
            <a:t>1. Introduction</a:t>
          </a:r>
        </a:p>
        <a:p>
          <a:r>
            <a:rPr lang="en-US" sz="1200" b="0" i="0">
              <a:solidFill>
                <a:schemeClr val="dk1"/>
              </a:solidFill>
              <a:effectLst/>
              <a:latin typeface="+mn-lt"/>
              <a:ea typeface="+mn-ea"/>
              <a:cs typeface="+mn-cs"/>
            </a:rPr>
            <a:t>This dashboard delivers a comprehensive analysis of e-commerce sales data collected between January and September 2024. Drawing on detailed transaction records, it uncovers trends in revenue, product performance, customer segmentation, and regional dynamics. By integrating interactive visuals and dynamic filters, the dashboard enables business managers and analysts to quickly identify patterns, monitor key metrics, and make data-driven decisions to enhance sales strategy and operational effectiveness.</a:t>
          </a:r>
        </a:p>
        <a:p>
          <a:endParaRPr lang="en-US" sz="1100" b="0" i="0">
            <a:solidFill>
              <a:schemeClr val="dk1"/>
            </a:solidFill>
            <a:effectLst/>
            <a:latin typeface="+mn-lt"/>
            <a:ea typeface="+mn-ea"/>
            <a:cs typeface="+mn-cs"/>
          </a:endParaRPr>
        </a:p>
        <a:p>
          <a:r>
            <a:rPr lang="en-US" sz="1600" b="1" i="0">
              <a:solidFill>
                <a:schemeClr val="dk1"/>
              </a:solidFill>
              <a:effectLst/>
              <a:latin typeface="+mn-lt"/>
              <a:ea typeface="+mn-ea"/>
              <a:cs typeface="+mn-cs"/>
            </a:rPr>
            <a:t>2. Objectives</a:t>
          </a:r>
        </a:p>
        <a:p>
          <a:r>
            <a:rPr lang="en-US" sz="1200" b="0" i="0" baseline="0">
              <a:solidFill>
                <a:schemeClr val="dk1"/>
              </a:solidFill>
              <a:effectLst/>
              <a:latin typeface="+mn-lt"/>
              <a:ea typeface="+mn-ea"/>
              <a:cs typeface="+mn-cs"/>
            </a:rPr>
            <a:t>    (i) </a:t>
          </a:r>
          <a:r>
            <a:rPr lang="en-US" sz="1200" b="0" i="0">
              <a:solidFill>
                <a:schemeClr val="dk1"/>
              </a:solidFill>
              <a:effectLst/>
              <a:latin typeface="+mn-lt"/>
              <a:ea typeface="+mn-ea"/>
              <a:cs typeface="+mn-cs"/>
            </a:rPr>
            <a:t>Present a clear overview of sales distribution across regions and product categories to highlight market strengths and growth areas.</a:t>
          </a:r>
        </a:p>
        <a:p>
          <a:r>
            <a:rPr lang="en-US" sz="1200" b="0" i="0">
              <a:solidFill>
                <a:schemeClr val="dk1"/>
              </a:solidFill>
              <a:effectLst/>
              <a:latin typeface="+mn-lt"/>
              <a:ea typeface="+mn-ea"/>
              <a:cs typeface="+mn-cs"/>
            </a:rPr>
            <a:t>   (ii) Identify top-performing and underperforming products by analyzing monthly and seasonal demand patterns.</a:t>
          </a:r>
        </a:p>
        <a:p>
          <a:r>
            <a:rPr lang="en-US" sz="1200" b="0" i="0">
              <a:solidFill>
                <a:schemeClr val="dk1"/>
              </a:solidFill>
              <a:effectLst/>
              <a:latin typeface="+mn-lt"/>
              <a:ea typeface="+mn-ea"/>
              <a:cs typeface="+mn-cs"/>
            </a:rPr>
            <a:t>  (iii) Segment customers by revenue contribution to focus marketing and retention initiatives on high-value groups.</a:t>
          </a:r>
        </a:p>
        <a:p>
          <a:r>
            <a:rPr lang="en-US" sz="1200" b="0" i="0">
              <a:solidFill>
                <a:schemeClr val="dk1"/>
              </a:solidFill>
              <a:effectLst/>
              <a:latin typeface="+mn-lt"/>
              <a:ea typeface="+mn-ea"/>
              <a:cs typeface="+mn-cs"/>
            </a:rPr>
            <a:t>  (iv) Reveal operational insights, including order status trends and regional fulfillment success, to guide process improvements.</a:t>
          </a:r>
        </a:p>
        <a:p>
          <a:r>
            <a:rPr lang="en-US" sz="1200" b="0" i="0">
              <a:solidFill>
                <a:schemeClr val="dk1"/>
              </a:solidFill>
              <a:effectLst/>
              <a:latin typeface="+mn-lt"/>
              <a:ea typeface="+mn-ea"/>
              <a:cs typeface="+mn-cs"/>
            </a:rPr>
            <a:t>   (v) Provide flexible slicing of data through interactive filters, enabling users to explore and answer specific business questions efficiently.</a:t>
          </a: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a:p>
      </xdr:txBody>
    </xdr:sp>
    <xdr:clientData/>
  </xdr:twoCellAnchor>
  <xdr:twoCellAnchor>
    <xdr:from>
      <xdr:col>0</xdr:col>
      <xdr:colOff>49162</xdr:colOff>
      <xdr:row>18</xdr:row>
      <xdr:rowOff>31560</xdr:rowOff>
    </xdr:from>
    <xdr:to>
      <xdr:col>24</xdr:col>
      <xdr:colOff>15551</xdr:colOff>
      <xdr:row>25</xdr:row>
      <xdr:rowOff>169333</xdr:rowOff>
    </xdr:to>
    <xdr:sp macro="" textlink="">
      <xdr:nvSpPr>
        <xdr:cNvPr id="3" name="TextBox 2">
          <a:hlinkClick xmlns:r="http://schemas.openxmlformats.org/officeDocument/2006/relationships" r:id="rId1"/>
          <a:extLst>
            <a:ext uri="{FF2B5EF4-FFF2-40B4-BE49-F238E27FC236}">
              <a16:creationId xmlns:a16="http://schemas.microsoft.com/office/drawing/2014/main" id="{BCF813BE-3EF2-B3CA-4AF0-E96A396F3B40}"/>
            </a:ext>
          </a:extLst>
        </xdr:cNvPr>
        <xdr:cNvSpPr txBox="1"/>
      </xdr:nvSpPr>
      <xdr:spPr>
        <a:xfrm>
          <a:off x="49162" y="3248893"/>
          <a:ext cx="14641945" cy="1388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dk1"/>
              </a:solidFill>
              <a:effectLst/>
              <a:latin typeface="+mn-lt"/>
              <a:ea typeface="+mn-ea"/>
              <a:cs typeface="+mn-cs"/>
            </a:rPr>
            <a:t>3. Data Source Information</a:t>
          </a:r>
        </a:p>
        <a:p>
          <a:r>
            <a:rPr lang="en-US" sz="1200" b="1" i="0">
              <a:solidFill>
                <a:schemeClr val="dk1"/>
              </a:solidFill>
              <a:effectLst/>
              <a:latin typeface="+mn-lt"/>
              <a:ea typeface="+mn-ea"/>
              <a:cs typeface="+mn-cs"/>
            </a:rPr>
            <a:t>File: </a:t>
          </a:r>
          <a:r>
            <a:rPr lang="en-US" sz="1200" b="0" i="0">
              <a:solidFill>
                <a:schemeClr val="dk1"/>
              </a:solidFill>
              <a:effectLst/>
              <a:latin typeface="+mn-lt"/>
              <a:ea typeface="+mn-ea"/>
              <a:cs typeface="+mn-cs"/>
            </a:rPr>
            <a:t>E-Commerce</a:t>
          </a:r>
          <a:r>
            <a:rPr lang="en-US" sz="1200" b="0" i="0" baseline="0">
              <a:solidFill>
                <a:schemeClr val="dk1"/>
              </a:solidFill>
              <a:effectLst/>
              <a:latin typeface="+mn-lt"/>
              <a:ea typeface="+mn-ea"/>
              <a:cs typeface="+mn-cs"/>
            </a:rPr>
            <a:t> Sales Analytics</a:t>
          </a:r>
          <a:r>
            <a:rPr lang="en-US" sz="1200" b="0" i="0">
              <a:solidFill>
                <a:schemeClr val="dk1"/>
              </a:solidFill>
              <a:effectLst/>
              <a:latin typeface="+mn-lt"/>
              <a:ea typeface="+mn-ea"/>
              <a:cs typeface="+mn-cs"/>
            </a:rPr>
            <a:t>.xlsx </a:t>
          </a:r>
        </a:p>
        <a:p>
          <a:r>
            <a:rPr lang="en-US" sz="1200" b="1" i="0">
              <a:solidFill>
                <a:schemeClr val="dk1"/>
              </a:solidFill>
              <a:effectLst/>
              <a:latin typeface="+mn-lt"/>
              <a:ea typeface="+mn-ea"/>
              <a:cs typeface="+mn-cs"/>
            </a:rPr>
            <a:t>Worksheet: </a:t>
          </a:r>
          <a:r>
            <a:rPr lang="en-US" sz="1200" b="0" i="0">
              <a:solidFill>
                <a:schemeClr val="dk1"/>
              </a:solidFill>
              <a:effectLst/>
              <a:latin typeface="+mn-lt"/>
              <a:ea typeface="+mn-ea"/>
              <a:cs typeface="+mn-cs"/>
            </a:rPr>
            <a:t>sales_data</a:t>
          </a:r>
        </a:p>
        <a:p>
          <a:r>
            <a:rPr lang="en-US" sz="1200" b="1" i="0">
              <a:solidFill>
                <a:schemeClr val="dk1"/>
              </a:solidFill>
              <a:effectLst/>
              <a:latin typeface="+mn-lt"/>
              <a:ea typeface="+mn-ea"/>
              <a:cs typeface="+mn-cs"/>
            </a:rPr>
            <a:t>Content</a:t>
          </a:r>
          <a:r>
            <a:rPr lang="en-US" sz="1200" b="0" i="0">
              <a:solidFill>
                <a:schemeClr val="dk1"/>
              </a:solidFill>
              <a:effectLst/>
              <a:latin typeface="+mn-lt"/>
              <a:ea typeface="+mn-ea"/>
              <a:cs typeface="+mn-cs"/>
            </a:rPr>
            <a:t>: 100 individual online transaction records, covering January–September 2024.</a:t>
          </a:r>
        </a:p>
        <a:p>
          <a:r>
            <a:rPr lang="en-US" sz="1200" b="1" i="0">
              <a:solidFill>
                <a:schemeClr val="dk1"/>
              </a:solidFill>
              <a:effectLst/>
              <a:latin typeface="+mn-lt"/>
              <a:ea typeface="+mn-ea"/>
              <a:cs typeface="+mn-cs"/>
            </a:rPr>
            <a:t>Fields Used: </a:t>
          </a:r>
          <a:r>
            <a:rPr lang="en-US" sz="1200" b="0" i="0">
              <a:solidFill>
                <a:schemeClr val="dk1"/>
              </a:solidFill>
              <a:effectLst/>
              <a:latin typeface="+mn-lt"/>
              <a:ea typeface="+mn-ea"/>
              <a:cs typeface="+mn-cs"/>
            </a:rPr>
            <a:t>Order Date, Region, City, Product Category, Product Name, Customer Name, Order Status, Quantity, Unit Price, Subtotal, Discounts, Shipping Cost, Total Order Value, Payment Method.</a:t>
          </a:r>
        </a:p>
        <a:p>
          <a:r>
            <a:rPr lang="en-US" sz="1200" b="1" i="0">
              <a:solidFill>
                <a:schemeClr val="dk1"/>
              </a:solidFill>
              <a:effectLst/>
              <a:latin typeface="+mn-lt"/>
              <a:ea typeface="+mn-ea"/>
              <a:cs typeface="+mn-cs"/>
            </a:rPr>
            <a:t>Notes</a:t>
          </a:r>
          <a:r>
            <a:rPr lang="en-US" sz="1200" b="0" i="0">
              <a:solidFill>
                <a:schemeClr val="dk1"/>
              </a:solidFill>
              <a:effectLst/>
              <a:latin typeface="+mn-lt"/>
              <a:ea typeface="+mn-ea"/>
              <a:cs typeface="+mn-cs"/>
            </a:rPr>
            <a:t>: All records checked for duplicates and blanks; data integrity validated; covers 4 regions and 4 main product categories.</a:t>
          </a:r>
        </a:p>
        <a:p>
          <a:endParaRPr lang="en-US" sz="1100"/>
        </a:p>
      </xdr:txBody>
    </xdr:sp>
    <xdr:clientData/>
  </xdr:twoCellAnchor>
  <xdr:twoCellAnchor>
    <xdr:from>
      <xdr:col>0</xdr:col>
      <xdr:colOff>39862</xdr:colOff>
      <xdr:row>25</xdr:row>
      <xdr:rowOff>43895</xdr:rowOff>
    </xdr:from>
    <xdr:to>
      <xdr:col>24</xdr:col>
      <xdr:colOff>15551</xdr:colOff>
      <xdr:row>49</xdr:row>
      <xdr:rowOff>122297</xdr:rowOff>
    </xdr:to>
    <xdr:sp macro="" textlink="">
      <xdr:nvSpPr>
        <xdr:cNvPr id="4" name="TextBox 3">
          <a:extLst>
            <a:ext uri="{FF2B5EF4-FFF2-40B4-BE49-F238E27FC236}">
              <a16:creationId xmlns:a16="http://schemas.microsoft.com/office/drawing/2014/main" id="{35FBF2AE-0896-1EB8-8A9C-A15C062C7934}"/>
            </a:ext>
          </a:extLst>
        </xdr:cNvPr>
        <xdr:cNvSpPr txBox="1"/>
      </xdr:nvSpPr>
      <xdr:spPr>
        <a:xfrm>
          <a:off x="39862" y="4512414"/>
          <a:ext cx="14651245" cy="43681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a:solidFill>
                <a:schemeClr val="dk1"/>
              </a:solidFill>
              <a:effectLst/>
              <a:latin typeface="+mn-lt"/>
              <a:ea typeface="+mn-ea"/>
              <a:cs typeface="+mn-cs"/>
            </a:rPr>
            <a:t>4. Key Insights</a:t>
          </a:r>
        </a:p>
        <a:p>
          <a:r>
            <a:rPr lang="en-US" sz="1200" b="0" i="0" baseline="0">
              <a:solidFill>
                <a:schemeClr val="dk1"/>
              </a:solidFill>
              <a:effectLst/>
              <a:latin typeface="+mn-lt"/>
              <a:ea typeface="+mn-ea"/>
              <a:cs typeface="+mn-cs"/>
            </a:rPr>
            <a:t>     </a:t>
          </a:r>
          <a:r>
            <a:rPr lang="en-US" sz="1200" b="1" i="1" baseline="0">
              <a:solidFill>
                <a:schemeClr val="dk1"/>
              </a:solidFill>
              <a:effectLst/>
              <a:latin typeface="+mn-lt"/>
              <a:ea typeface="+mn-ea"/>
              <a:cs typeface="+mn-cs"/>
            </a:rPr>
            <a:t>(i) </a:t>
          </a:r>
          <a:r>
            <a:rPr lang="en-US" sz="1200" b="1" i="1">
              <a:solidFill>
                <a:schemeClr val="dk1"/>
              </a:solidFill>
              <a:effectLst/>
              <a:latin typeface="+mn-lt"/>
              <a:ea typeface="+mn-ea"/>
              <a:cs typeface="+mn-cs"/>
            </a:rPr>
            <a:t>Sales by Region:</a:t>
          </a:r>
        </a:p>
        <a:p>
          <a:pPr lvl="1"/>
          <a:r>
            <a:rPr lang="en-US" sz="1200" b="0" i="0">
              <a:solidFill>
                <a:schemeClr val="dk1"/>
              </a:solidFill>
              <a:effectLst/>
              <a:latin typeface="+mn-lt"/>
              <a:ea typeface="+mn-ea"/>
              <a:cs typeface="+mn-cs"/>
            </a:rPr>
            <a:t>• The </a:t>
          </a:r>
          <a:r>
            <a:rPr lang="en-US" sz="1200" b="1" i="0">
              <a:solidFill>
                <a:schemeClr val="dk1"/>
              </a:solidFill>
              <a:effectLst/>
              <a:latin typeface="+mn-lt"/>
              <a:ea typeface="+mn-ea"/>
              <a:cs typeface="+mn-cs"/>
            </a:rPr>
            <a:t>North</a:t>
          </a:r>
          <a:r>
            <a:rPr lang="en-US" sz="1200" b="0" i="0">
              <a:solidFill>
                <a:schemeClr val="dk1"/>
              </a:solidFill>
              <a:effectLst/>
              <a:latin typeface="+mn-lt"/>
              <a:ea typeface="+mn-ea"/>
              <a:cs typeface="+mn-cs"/>
            </a:rPr>
            <a:t> and </a:t>
          </a:r>
          <a:r>
            <a:rPr lang="en-US" sz="1200" b="1" i="0">
              <a:solidFill>
                <a:schemeClr val="dk1"/>
              </a:solidFill>
              <a:effectLst/>
              <a:latin typeface="+mn-lt"/>
              <a:ea typeface="+mn-ea"/>
              <a:cs typeface="+mn-cs"/>
            </a:rPr>
            <a:t>West</a:t>
          </a:r>
          <a:r>
            <a:rPr lang="en-US" sz="1200" b="0" i="0">
              <a:solidFill>
                <a:schemeClr val="dk1"/>
              </a:solidFill>
              <a:effectLst/>
              <a:latin typeface="+mn-lt"/>
              <a:ea typeface="+mn-ea"/>
              <a:cs typeface="+mn-cs"/>
            </a:rPr>
            <a:t> regions lead in total sales, with North showing the highest overall sum, but West closely following with consistently strong performance across months.</a:t>
          </a:r>
        </a:p>
        <a:p>
          <a:pPr lvl="1"/>
          <a:r>
            <a:rPr lang="en-US" sz="1200" b="0" i="0">
              <a:solidFill>
                <a:schemeClr val="dk1"/>
              </a:solidFill>
              <a:effectLst/>
              <a:latin typeface="+mn-lt"/>
              <a:ea typeface="+mn-ea"/>
              <a:cs typeface="+mn-cs"/>
            </a:rPr>
            <a:t>• Every region handled an equal number of orders (25 each), ensuring a balanced regional market presence.</a:t>
          </a:r>
        </a:p>
        <a:p>
          <a:r>
            <a:rPr lang="en-US" sz="1200" b="0" i="0">
              <a:solidFill>
                <a:schemeClr val="dk1"/>
              </a:solidFill>
              <a:effectLst/>
              <a:latin typeface="+mn-lt"/>
              <a:ea typeface="+mn-ea"/>
              <a:cs typeface="+mn-cs"/>
            </a:rPr>
            <a:t>    </a:t>
          </a:r>
          <a:r>
            <a:rPr lang="en-US" sz="1200" b="1" i="1">
              <a:solidFill>
                <a:schemeClr val="dk1"/>
              </a:solidFill>
              <a:effectLst/>
              <a:latin typeface="+mn-lt"/>
              <a:ea typeface="+mn-ea"/>
              <a:cs typeface="+mn-cs"/>
            </a:rPr>
            <a:t>(ii) Order Status Trends:</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Roughly 80%</a:t>
          </a:r>
          <a:r>
            <a:rPr lang="en-US" sz="1200" b="0" i="0">
              <a:solidFill>
                <a:schemeClr val="dk1"/>
              </a:solidFill>
              <a:effectLst/>
              <a:latin typeface="+mn-lt"/>
              <a:ea typeface="+mn-ea"/>
              <a:cs typeface="+mn-cs"/>
            </a:rPr>
            <a:t> of all orders across regions were delivered successfully, with a smaller share in processing or cancelled status.</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North</a:t>
          </a:r>
          <a:r>
            <a:rPr lang="en-US" sz="1200" b="0" i="0">
              <a:solidFill>
                <a:schemeClr val="dk1"/>
              </a:solidFill>
              <a:effectLst/>
              <a:latin typeface="+mn-lt"/>
              <a:ea typeface="+mn-ea"/>
              <a:cs typeface="+mn-cs"/>
            </a:rPr>
            <a:t> and </a:t>
          </a:r>
          <a:r>
            <a:rPr lang="en-US" sz="1200" b="1" i="0">
              <a:solidFill>
                <a:schemeClr val="dk1"/>
              </a:solidFill>
              <a:effectLst/>
              <a:latin typeface="+mn-lt"/>
              <a:ea typeface="+mn-ea"/>
              <a:cs typeface="+mn-cs"/>
            </a:rPr>
            <a:t>East </a:t>
          </a:r>
          <a:r>
            <a:rPr lang="en-US" sz="1200" b="0" i="0">
              <a:solidFill>
                <a:schemeClr val="dk1"/>
              </a:solidFill>
              <a:effectLst/>
              <a:latin typeface="+mn-lt"/>
              <a:ea typeface="+mn-ea"/>
              <a:cs typeface="+mn-cs"/>
            </a:rPr>
            <a:t>had the highest counts of </a:t>
          </a:r>
          <a:r>
            <a:rPr lang="en-US" sz="1200" b="1" i="0">
              <a:solidFill>
                <a:schemeClr val="dk1"/>
              </a:solidFill>
              <a:effectLst/>
              <a:latin typeface="+mn-lt"/>
              <a:ea typeface="+mn-ea"/>
              <a:cs typeface="+mn-cs"/>
            </a:rPr>
            <a:t>cancelled orders</a:t>
          </a:r>
          <a:r>
            <a:rPr lang="en-US" sz="1200" b="0" i="0">
              <a:solidFill>
                <a:schemeClr val="dk1"/>
              </a:solidFill>
              <a:effectLst/>
              <a:latin typeface="+mn-lt"/>
              <a:ea typeface="+mn-ea"/>
              <a:cs typeface="+mn-cs"/>
            </a:rPr>
            <a:t>, suggesting possible issues in logistics or customer experience in these areas.</a:t>
          </a:r>
        </a:p>
        <a:p>
          <a:r>
            <a:rPr lang="en-US" sz="1200" b="0" i="0">
              <a:solidFill>
                <a:schemeClr val="dk1"/>
              </a:solidFill>
              <a:effectLst/>
              <a:latin typeface="+mn-lt"/>
              <a:ea typeface="+mn-ea"/>
              <a:cs typeface="+mn-cs"/>
            </a:rPr>
            <a:t>    </a:t>
          </a:r>
          <a:r>
            <a:rPr lang="en-US" sz="1200" b="1" i="1">
              <a:solidFill>
                <a:schemeClr val="dk1"/>
              </a:solidFill>
              <a:effectLst/>
              <a:latin typeface="+mn-lt"/>
              <a:ea typeface="+mn-ea"/>
              <a:cs typeface="+mn-cs"/>
            </a:rPr>
            <a:t>(iii) Product Performance:</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Electronics</a:t>
          </a:r>
          <a:r>
            <a:rPr lang="en-US" sz="1200" b="0" i="0">
              <a:solidFill>
                <a:schemeClr val="dk1"/>
              </a:solidFill>
              <a:effectLst/>
              <a:latin typeface="+mn-lt"/>
              <a:ea typeface="+mn-ea"/>
              <a:cs typeface="+mn-cs"/>
            </a:rPr>
            <a:t> dominated as the top revenue generator, accounting for </a:t>
          </a:r>
          <a:r>
            <a:rPr lang="en-US" sz="1200" b="1" i="0">
              <a:solidFill>
                <a:schemeClr val="dk1"/>
              </a:solidFill>
              <a:effectLst/>
              <a:latin typeface="+mn-lt"/>
              <a:ea typeface="+mn-ea"/>
              <a:cs typeface="+mn-cs"/>
            </a:rPr>
            <a:t>nearly 46% </a:t>
          </a:r>
          <a:r>
            <a:rPr lang="en-US" sz="1200" b="0" i="0">
              <a:solidFill>
                <a:schemeClr val="dk1"/>
              </a:solidFill>
              <a:effectLst/>
              <a:latin typeface="+mn-lt"/>
              <a:ea typeface="+mn-ea"/>
              <a:cs typeface="+mn-cs"/>
            </a:rPr>
            <a:t>of all monthly sales at its peak.</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Home &amp; Garden </a:t>
          </a:r>
          <a:r>
            <a:rPr lang="en-US" sz="1200" b="0" i="0">
              <a:solidFill>
                <a:schemeClr val="dk1"/>
              </a:solidFill>
              <a:effectLst/>
              <a:latin typeface="+mn-lt"/>
              <a:ea typeface="+mn-ea"/>
              <a:cs typeface="+mn-cs"/>
            </a:rPr>
            <a:t>and </a:t>
          </a:r>
          <a:r>
            <a:rPr lang="en-US" sz="1200" b="1" i="0">
              <a:solidFill>
                <a:schemeClr val="dk1"/>
              </a:solidFill>
              <a:effectLst/>
              <a:latin typeface="+mn-lt"/>
              <a:ea typeface="+mn-ea"/>
              <a:cs typeface="+mn-cs"/>
            </a:rPr>
            <a:t>Clothing</a:t>
          </a:r>
          <a:r>
            <a:rPr lang="en-US" sz="1200" b="0" i="0">
              <a:solidFill>
                <a:schemeClr val="dk1"/>
              </a:solidFill>
              <a:effectLst/>
              <a:latin typeface="+mn-lt"/>
              <a:ea typeface="+mn-ea"/>
              <a:cs typeface="+mn-cs"/>
            </a:rPr>
            <a:t> categories showed steady shares, with seasonal increases for Home &amp; Garden in spring and late summer, indicating effective promotions or natural demand cycles.</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Books</a:t>
          </a:r>
          <a:r>
            <a:rPr lang="en-US" sz="1200" b="0" i="0">
              <a:solidFill>
                <a:schemeClr val="dk1"/>
              </a:solidFill>
              <a:effectLst/>
              <a:latin typeface="+mn-lt"/>
              <a:ea typeface="+mn-ea"/>
              <a:cs typeface="+mn-cs"/>
            </a:rPr>
            <a:t> sales, while smallest in volume, spiked in specific months (notably September), suggesting seasonal interest or targeted campaigns.</a:t>
          </a:r>
        </a:p>
        <a:p>
          <a:r>
            <a:rPr lang="en-US" sz="1200" b="0" i="0">
              <a:solidFill>
                <a:schemeClr val="dk1"/>
              </a:solidFill>
              <a:effectLst/>
              <a:latin typeface="+mn-lt"/>
              <a:ea typeface="+mn-ea"/>
              <a:cs typeface="+mn-cs"/>
            </a:rPr>
            <a:t>    </a:t>
          </a:r>
          <a:r>
            <a:rPr lang="en-US" sz="1200" b="1" i="1">
              <a:solidFill>
                <a:schemeClr val="dk1"/>
              </a:solidFill>
              <a:effectLst/>
              <a:latin typeface="+mn-lt"/>
              <a:ea typeface="+mn-ea"/>
              <a:cs typeface="+mn-cs"/>
            </a:rPr>
            <a:t>(iv) Customer Segmentation:</a:t>
          </a:r>
        </a:p>
        <a:p>
          <a:pPr lvl="1"/>
          <a:r>
            <a:rPr lang="en-US" sz="1200" b="0" i="0">
              <a:solidFill>
                <a:schemeClr val="dk1"/>
              </a:solidFill>
              <a:effectLst/>
              <a:latin typeface="+mn-lt"/>
              <a:ea typeface="+mn-ea"/>
              <a:cs typeface="+mn-cs"/>
            </a:rPr>
            <a:t>• Most customers are in the "Low Value" tier, but the small "High Value" group contributed disproportionately to total revenue—typical of a Pareto distribution.</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High Value customers were spread across all regions</a:t>
          </a:r>
          <a:r>
            <a:rPr lang="en-US" sz="1200" b="0" i="0">
              <a:solidFill>
                <a:schemeClr val="dk1"/>
              </a:solidFill>
              <a:effectLst/>
              <a:latin typeface="+mn-lt"/>
              <a:ea typeface="+mn-ea"/>
              <a:cs typeface="+mn-cs"/>
            </a:rPr>
            <a:t>, but the North region had the largest share.</a:t>
          </a:r>
        </a:p>
        <a:p>
          <a:pPr lvl="1"/>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Medium Value customers </a:t>
          </a:r>
          <a:r>
            <a:rPr lang="en-US" sz="1200" b="0" i="0">
              <a:solidFill>
                <a:schemeClr val="dk1"/>
              </a:solidFill>
              <a:effectLst/>
              <a:latin typeface="+mn-lt"/>
              <a:ea typeface="+mn-ea"/>
              <a:cs typeface="+mn-cs"/>
            </a:rPr>
            <a:t>contributed solidly across regions but did not match high-value impact, reinforcing the importance of focusing marketing on top-tier clients.</a:t>
          </a:r>
        </a:p>
        <a:p>
          <a:r>
            <a:rPr lang="en-US" sz="1200" b="0" i="0">
              <a:solidFill>
                <a:schemeClr val="dk1"/>
              </a:solidFill>
              <a:effectLst/>
              <a:latin typeface="+mn-lt"/>
              <a:ea typeface="+mn-ea"/>
              <a:cs typeface="+mn-cs"/>
            </a:rPr>
            <a:t>     </a:t>
          </a:r>
          <a:r>
            <a:rPr lang="en-US" sz="1200" b="1" i="1">
              <a:solidFill>
                <a:schemeClr val="dk1"/>
              </a:solidFill>
              <a:effectLst/>
              <a:latin typeface="+mn-lt"/>
              <a:ea typeface="+mn-ea"/>
              <a:cs typeface="+mn-cs"/>
            </a:rPr>
            <a:t>(v) Trends Over Time:</a:t>
          </a:r>
        </a:p>
        <a:p>
          <a:pPr lvl="1"/>
          <a:r>
            <a:rPr lang="en-US" sz="1200" b="0" i="0">
              <a:solidFill>
                <a:schemeClr val="dk1"/>
              </a:solidFill>
              <a:effectLst/>
              <a:latin typeface="+mn-lt"/>
              <a:ea typeface="+mn-ea"/>
              <a:cs typeface="+mn-cs"/>
            </a:rPr>
            <a:t>• Sales peaked in March and July, aligning with typical promotional windows or holiday-driven demand.</a:t>
          </a:r>
        </a:p>
        <a:p>
          <a:pPr lvl="1"/>
          <a:r>
            <a:rPr lang="en-US" sz="1200" b="0" i="0">
              <a:solidFill>
                <a:schemeClr val="dk1"/>
              </a:solidFill>
              <a:effectLst/>
              <a:latin typeface="+mn-lt"/>
              <a:ea typeface="+mn-ea"/>
              <a:cs typeface="+mn-cs"/>
            </a:rPr>
            <a:t>• There is a visible dip in some categories during April and June, which could be explored for further sales optimization.</a:t>
          </a:r>
        </a:p>
        <a:p>
          <a:r>
            <a:rPr lang="en-US" sz="1200" b="1" i="1">
              <a:solidFill>
                <a:schemeClr val="dk1"/>
              </a:solidFill>
              <a:effectLst/>
              <a:latin typeface="+mn-lt"/>
              <a:ea typeface="+mn-ea"/>
              <a:cs typeface="+mn-cs"/>
            </a:rPr>
            <a:t>    (vi)</a:t>
          </a:r>
          <a:r>
            <a:rPr lang="en-US" sz="1200" b="1" i="1" baseline="0">
              <a:solidFill>
                <a:schemeClr val="dk1"/>
              </a:solidFill>
              <a:effectLst/>
              <a:latin typeface="+mn-lt"/>
              <a:ea typeface="+mn-ea"/>
              <a:cs typeface="+mn-cs"/>
            </a:rPr>
            <a:t> </a:t>
          </a:r>
          <a:r>
            <a:rPr lang="en-US" sz="1200" b="1" i="1">
              <a:solidFill>
                <a:schemeClr val="dk1"/>
              </a:solidFill>
              <a:effectLst/>
              <a:latin typeface="+mn-lt"/>
              <a:ea typeface="+mn-ea"/>
              <a:cs typeface="+mn-cs"/>
            </a:rPr>
            <a:t>Operational Patterns:</a:t>
          </a:r>
        </a:p>
        <a:p>
          <a:pPr lvl="1"/>
          <a:r>
            <a:rPr lang="en-US" sz="1200" b="0" i="0">
              <a:solidFill>
                <a:schemeClr val="dk1"/>
              </a:solidFill>
              <a:effectLst/>
              <a:latin typeface="+mn-lt"/>
              <a:ea typeface="+mn-ea"/>
              <a:cs typeface="+mn-cs"/>
            </a:rPr>
            <a:t>• The highest number of "processing" and "cancelled" orders were recorded in </a:t>
          </a:r>
          <a:r>
            <a:rPr lang="en-US" sz="1200" b="1" i="0">
              <a:solidFill>
                <a:schemeClr val="dk1"/>
              </a:solidFill>
              <a:effectLst/>
              <a:latin typeface="+mn-lt"/>
              <a:ea typeface="+mn-ea"/>
              <a:cs typeface="+mn-cs"/>
            </a:rPr>
            <a:t>Electronics</a:t>
          </a:r>
          <a:r>
            <a:rPr lang="en-US" sz="1200" b="0" i="0">
              <a:solidFill>
                <a:schemeClr val="dk1"/>
              </a:solidFill>
              <a:effectLst/>
              <a:latin typeface="+mn-lt"/>
              <a:ea typeface="+mn-ea"/>
              <a:cs typeface="+mn-cs"/>
            </a:rPr>
            <a:t> and </a:t>
          </a:r>
          <a:r>
            <a:rPr lang="en-US" sz="1200" b="1" i="0">
              <a:solidFill>
                <a:schemeClr val="dk1"/>
              </a:solidFill>
              <a:effectLst/>
              <a:latin typeface="+mn-lt"/>
              <a:ea typeface="+mn-ea"/>
              <a:cs typeface="+mn-cs"/>
            </a:rPr>
            <a:t>Clothing</a:t>
          </a:r>
          <a:r>
            <a:rPr lang="en-US" sz="1200" b="0" i="0">
              <a:solidFill>
                <a:schemeClr val="dk1"/>
              </a:solidFill>
              <a:effectLst/>
              <a:latin typeface="+mn-lt"/>
              <a:ea typeface="+mn-ea"/>
              <a:cs typeface="+mn-cs"/>
            </a:rPr>
            <a:t>—potentially due to inventory or fulfillment issues during campaign months.</a:t>
          </a:r>
        </a:p>
        <a:p>
          <a:pPr lvl="1"/>
          <a:r>
            <a:rPr lang="en-US" sz="1200" b="0" i="0">
              <a:solidFill>
                <a:schemeClr val="dk1"/>
              </a:solidFill>
              <a:effectLst/>
              <a:latin typeface="+mn-lt"/>
              <a:ea typeface="+mn-ea"/>
              <a:cs typeface="+mn-cs"/>
            </a:rPr>
            <a:t>• Slicers for </a:t>
          </a:r>
          <a:r>
            <a:rPr lang="en-US" sz="1200" b="1" i="0">
              <a:solidFill>
                <a:schemeClr val="dk1"/>
              </a:solidFill>
              <a:effectLst/>
              <a:latin typeface="+mn-lt"/>
              <a:ea typeface="+mn-ea"/>
              <a:cs typeface="+mn-cs"/>
            </a:rPr>
            <a:t>Region</a:t>
          </a:r>
          <a:r>
            <a:rPr lang="en-US" sz="1200" b="0" i="0">
              <a:solidFill>
                <a:schemeClr val="dk1"/>
              </a:solidFill>
              <a:effectLst/>
              <a:latin typeface="+mn-lt"/>
              <a:ea typeface="+mn-ea"/>
              <a:cs typeface="+mn-cs"/>
            </a:rPr>
            <a:t>, </a:t>
          </a:r>
          <a:r>
            <a:rPr lang="en-US" sz="1200" b="1" i="0">
              <a:solidFill>
                <a:schemeClr val="dk1"/>
              </a:solidFill>
              <a:effectLst/>
              <a:latin typeface="+mn-lt"/>
              <a:ea typeface="+mn-ea"/>
              <a:cs typeface="+mn-cs"/>
            </a:rPr>
            <a:t>Product Category</a:t>
          </a:r>
          <a:r>
            <a:rPr lang="en-US" sz="1200" b="0" i="0">
              <a:solidFill>
                <a:schemeClr val="dk1"/>
              </a:solidFill>
              <a:effectLst/>
              <a:latin typeface="+mn-lt"/>
              <a:ea typeface="+mn-ea"/>
              <a:cs typeface="+mn-cs"/>
            </a:rPr>
            <a:t>, and </a:t>
          </a:r>
          <a:r>
            <a:rPr lang="en-US" sz="1200" b="1" i="0">
              <a:solidFill>
                <a:schemeClr val="dk1"/>
              </a:solidFill>
              <a:effectLst/>
              <a:latin typeface="+mn-lt"/>
              <a:ea typeface="+mn-ea"/>
              <a:cs typeface="+mn-cs"/>
            </a:rPr>
            <a:t>Order Status </a:t>
          </a:r>
          <a:r>
            <a:rPr lang="en-US" sz="1200" b="0" i="0">
              <a:solidFill>
                <a:schemeClr val="dk1"/>
              </a:solidFill>
              <a:effectLst/>
              <a:latin typeface="+mn-lt"/>
              <a:ea typeface="+mn-ea"/>
              <a:cs typeface="+mn-cs"/>
            </a:rPr>
            <a:t>allow for quick filtering of these patterns in your dashboard.</a:t>
          </a:r>
        </a:p>
        <a:p>
          <a:endParaRPr lang="en-US" sz="1100"/>
        </a:p>
      </xdr:txBody>
    </xdr:sp>
    <xdr:clientData/>
  </xdr:twoCellAnchor>
  <xdr:twoCellAnchor>
    <xdr:from>
      <xdr:col>17</xdr:col>
      <xdr:colOff>191379</xdr:colOff>
      <xdr:row>48</xdr:row>
      <xdr:rowOff>160275</xdr:rowOff>
    </xdr:from>
    <xdr:to>
      <xdr:col>32</xdr:col>
      <xdr:colOff>452438</xdr:colOff>
      <xdr:row>87</xdr:row>
      <xdr:rowOff>178828</xdr:rowOff>
    </xdr:to>
    <xdr:graphicFrame macro="">
      <xdr:nvGraphicFramePr>
        <xdr:cNvPr id="5" name="Chart 4">
          <a:extLst>
            <a:ext uri="{FF2B5EF4-FFF2-40B4-BE49-F238E27FC236}">
              <a16:creationId xmlns:a16="http://schemas.microsoft.com/office/drawing/2014/main" id="{D794E513-D826-44E2-83E9-D605571AF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48</xdr:row>
      <xdr:rowOff>177854</xdr:rowOff>
    </xdr:from>
    <xdr:to>
      <xdr:col>16</xdr:col>
      <xdr:colOff>261938</xdr:colOff>
      <xdr:row>88</xdr:row>
      <xdr:rowOff>59764</xdr:rowOff>
    </xdr:to>
    <xdr:graphicFrame macro="">
      <xdr:nvGraphicFramePr>
        <xdr:cNvPr id="6" name="Chart 5">
          <a:extLst>
            <a:ext uri="{FF2B5EF4-FFF2-40B4-BE49-F238E27FC236}">
              <a16:creationId xmlns:a16="http://schemas.microsoft.com/office/drawing/2014/main" id="{FCCC5A4D-52FB-406B-885C-81C67D74D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127611</xdr:colOff>
      <xdr:row>21</xdr:row>
      <xdr:rowOff>137793</xdr:rowOff>
    </xdr:from>
    <xdr:to>
      <xdr:col>32</xdr:col>
      <xdr:colOff>595312</xdr:colOff>
      <xdr:row>29</xdr:row>
      <xdr:rowOff>74239</xdr:rowOff>
    </xdr:to>
    <mc:AlternateContent xmlns:mc="http://schemas.openxmlformats.org/markup-compatibility/2006">
      <mc:Choice xmlns:a14="http://schemas.microsoft.com/office/drawing/2010/main" Requires="a14">
        <xdr:graphicFrame macro="">
          <xdr:nvGraphicFramePr>
            <xdr:cNvPr id="9" name="Region 2">
              <a:extLst>
                <a:ext uri="{FF2B5EF4-FFF2-40B4-BE49-F238E27FC236}">
                  <a16:creationId xmlns:a16="http://schemas.microsoft.com/office/drawing/2014/main" id="{29DA2273-4FF6-4853-81EE-93F153B7C43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4758011" y="4023993"/>
              <a:ext cx="5344501" cy="1416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146422</xdr:colOff>
      <xdr:row>12</xdr:row>
      <xdr:rowOff>130879</xdr:rowOff>
    </xdr:from>
    <xdr:to>
      <xdr:col>32</xdr:col>
      <xdr:colOff>571501</xdr:colOff>
      <xdr:row>20</xdr:row>
      <xdr:rowOff>41534</xdr:rowOff>
    </xdr:to>
    <mc:AlternateContent xmlns:mc="http://schemas.openxmlformats.org/markup-compatibility/2006">
      <mc:Choice xmlns:tsle="http://schemas.microsoft.com/office/drawing/2012/timeslicer" Requires="tsle">
        <xdr:graphicFrame macro="">
          <xdr:nvGraphicFramePr>
            <xdr:cNvPr id="10" name="Order_Date 2">
              <a:extLst>
                <a:ext uri="{FF2B5EF4-FFF2-40B4-BE49-F238E27FC236}">
                  <a16:creationId xmlns:a16="http://schemas.microsoft.com/office/drawing/2014/main" id="{5C10AC5E-53A0-4773-AE98-0E4BDFCD1DC3}"/>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14776822" y="2351565"/>
              <a:ext cx="5301879" cy="13911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121595</xdr:colOff>
      <xdr:row>30</xdr:row>
      <xdr:rowOff>177536</xdr:rowOff>
    </xdr:from>
    <xdr:to>
      <xdr:col>32</xdr:col>
      <xdr:colOff>523875</xdr:colOff>
      <xdr:row>39</xdr:row>
      <xdr:rowOff>74240</xdr:rowOff>
    </xdr:to>
    <mc:AlternateContent xmlns:mc="http://schemas.openxmlformats.org/markup-compatibility/2006">
      <mc:Choice xmlns:a14="http://schemas.microsoft.com/office/drawing/2010/main" Requires="a14">
        <xdr:graphicFrame macro="">
          <xdr:nvGraphicFramePr>
            <xdr:cNvPr id="11" name="Product_Category 2">
              <a:extLst>
                <a:ext uri="{FF2B5EF4-FFF2-40B4-BE49-F238E27FC236}">
                  <a16:creationId xmlns:a16="http://schemas.microsoft.com/office/drawing/2014/main" id="{F058AA1E-FBE0-4441-B291-48060463D11C}"/>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dr:sp macro="" textlink="">
          <xdr:nvSpPr>
            <xdr:cNvPr id="0" name=""/>
            <xdr:cNvSpPr>
              <a:spLocks noTextEdit="1"/>
            </xdr:cNvSpPr>
          </xdr:nvSpPr>
          <xdr:spPr>
            <a:xfrm>
              <a:off x="14751995" y="5729250"/>
              <a:ext cx="5279080" cy="1562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323403</xdr:colOff>
      <xdr:row>89</xdr:row>
      <xdr:rowOff>113263</xdr:rowOff>
    </xdr:from>
    <xdr:to>
      <xdr:col>16</xdr:col>
      <xdr:colOff>298822</xdr:colOff>
      <xdr:row>120</xdr:row>
      <xdr:rowOff>164353</xdr:rowOff>
    </xdr:to>
    <xdr:graphicFrame macro="">
      <xdr:nvGraphicFramePr>
        <xdr:cNvPr id="12" name="Chart 11">
          <a:extLst>
            <a:ext uri="{FF2B5EF4-FFF2-40B4-BE49-F238E27FC236}">
              <a16:creationId xmlns:a16="http://schemas.microsoft.com/office/drawing/2014/main" id="{1C08CC28-9A54-49A2-A1EE-54E57C19C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201312</xdr:colOff>
      <xdr:row>89</xdr:row>
      <xdr:rowOff>30477</xdr:rowOff>
    </xdr:from>
    <xdr:to>
      <xdr:col>32</xdr:col>
      <xdr:colOff>493058</xdr:colOff>
      <xdr:row>121</xdr:row>
      <xdr:rowOff>14940</xdr:rowOff>
    </xdr:to>
    <xdr:graphicFrame macro="">
      <xdr:nvGraphicFramePr>
        <xdr:cNvPr id="13" name="Chart 12">
          <a:extLst>
            <a:ext uri="{FF2B5EF4-FFF2-40B4-BE49-F238E27FC236}">
              <a16:creationId xmlns:a16="http://schemas.microsoft.com/office/drawing/2014/main" id="{64E617B4-ECAA-4607-B67B-B13D07EC5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340031</xdr:colOff>
      <xdr:row>121</xdr:row>
      <xdr:rowOff>118566</xdr:rowOff>
    </xdr:from>
    <xdr:to>
      <xdr:col>32</xdr:col>
      <xdr:colOff>522941</xdr:colOff>
      <xdr:row>149</xdr:row>
      <xdr:rowOff>104587</xdr:rowOff>
    </xdr:to>
    <xdr:graphicFrame macro="">
      <xdr:nvGraphicFramePr>
        <xdr:cNvPr id="14" name="Chart 13">
          <a:extLst>
            <a:ext uri="{FF2B5EF4-FFF2-40B4-BE49-F238E27FC236}">
              <a16:creationId xmlns:a16="http://schemas.microsoft.com/office/drawing/2014/main" id="{DE71F062-EA84-435D-935C-D834C35EC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6684</xdr:colOff>
      <xdr:row>6</xdr:row>
      <xdr:rowOff>161757</xdr:rowOff>
    </xdr:from>
    <xdr:to>
      <xdr:col>24</xdr:col>
      <xdr:colOff>6684</xdr:colOff>
      <xdr:row>48</xdr:row>
      <xdr:rowOff>80210</xdr:rowOff>
    </xdr:to>
    <xdr:cxnSp macro="">
      <xdr:nvCxnSpPr>
        <xdr:cNvPr id="16" name="Straight Connector 15">
          <a:extLst>
            <a:ext uri="{FF2B5EF4-FFF2-40B4-BE49-F238E27FC236}">
              <a16:creationId xmlns:a16="http://schemas.microsoft.com/office/drawing/2014/main" id="{541CA323-0D20-0677-8ADA-FE2BC1AAFE8C}"/>
            </a:ext>
          </a:extLst>
        </xdr:cNvPr>
        <xdr:cNvCxnSpPr/>
      </xdr:nvCxnSpPr>
      <xdr:spPr>
        <a:xfrm>
          <a:off x="14444579" y="1244599"/>
          <a:ext cx="0" cy="7498348"/>
        </a:xfrm>
        <a:prstGeom prst="line">
          <a:avLst/>
        </a:prstGeom>
        <a:ln w="28575"/>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119102</xdr:colOff>
      <xdr:row>14</xdr:row>
      <xdr:rowOff>10919</xdr:rowOff>
    </xdr:from>
    <xdr:to>
      <xdr:col>3</xdr:col>
      <xdr:colOff>1489981</xdr:colOff>
      <xdr:row>33</xdr:row>
      <xdr:rowOff>115660</xdr:rowOff>
    </xdr:to>
    <xdr:graphicFrame macro="">
      <xdr:nvGraphicFramePr>
        <xdr:cNvPr id="3" name="Chart 2">
          <a:extLst>
            <a:ext uri="{FF2B5EF4-FFF2-40B4-BE49-F238E27FC236}">
              <a16:creationId xmlns:a16="http://schemas.microsoft.com/office/drawing/2014/main" id="{FBA642D0-44E7-C7CC-9E2B-8FA5B0E71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10706</xdr:colOff>
      <xdr:row>14</xdr:row>
      <xdr:rowOff>32722</xdr:rowOff>
    </xdr:from>
    <xdr:to>
      <xdr:col>7</xdr:col>
      <xdr:colOff>821765</xdr:colOff>
      <xdr:row>33</xdr:row>
      <xdr:rowOff>104588</xdr:rowOff>
    </xdr:to>
    <xdr:graphicFrame macro="">
      <xdr:nvGraphicFramePr>
        <xdr:cNvPr id="4" name="Chart 3">
          <a:extLst>
            <a:ext uri="{FF2B5EF4-FFF2-40B4-BE49-F238E27FC236}">
              <a16:creationId xmlns:a16="http://schemas.microsoft.com/office/drawing/2014/main" id="{CE606F8C-0431-6288-89AA-9952602B8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811118</xdr:colOff>
      <xdr:row>10</xdr:row>
      <xdr:rowOff>82425</xdr:rowOff>
    </xdr:from>
    <xdr:to>
      <xdr:col>7</xdr:col>
      <xdr:colOff>396575</xdr:colOff>
      <xdr:row>18</xdr:row>
      <xdr:rowOff>76095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971E4F5-280C-E0F5-54F4-2AE25D3BC4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53597" y="1875366"/>
              <a:ext cx="1791223" cy="1428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10</xdr:row>
      <xdr:rowOff>91440</xdr:rowOff>
    </xdr:from>
    <xdr:to>
      <xdr:col>4</xdr:col>
      <xdr:colOff>499179</xdr:colOff>
      <xdr:row>16</xdr:row>
      <xdr:rowOff>175260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73CD18B1-5EB1-7B1A-2E7B-AF578A0FDBC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27660" y="1884381"/>
              <a:ext cx="4803284" cy="115958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992677</xdr:colOff>
      <xdr:row>18</xdr:row>
      <xdr:rowOff>93279</xdr:rowOff>
    </xdr:from>
    <xdr:to>
      <xdr:col>19</xdr:col>
      <xdr:colOff>307731</xdr:colOff>
      <xdr:row>57</xdr:row>
      <xdr:rowOff>73268</xdr:rowOff>
    </xdr:to>
    <xdr:graphicFrame macro="">
      <xdr:nvGraphicFramePr>
        <xdr:cNvPr id="6" name="Chart 5">
          <a:extLst>
            <a:ext uri="{FF2B5EF4-FFF2-40B4-BE49-F238E27FC236}">
              <a16:creationId xmlns:a16="http://schemas.microsoft.com/office/drawing/2014/main" id="{1D69E2D2-656F-B073-ED88-7382432D3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221769</xdr:colOff>
      <xdr:row>18</xdr:row>
      <xdr:rowOff>79757</xdr:rowOff>
    </xdr:from>
    <xdr:to>
      <xdr:col>10</xdr:col>
      <xdr:colOff>762000</xdr:colOff>
      <xdr:row>57</xdr:row>
      <xdr:rowOff>42332</xdr:rowOff>
    </xdr:to>
    <xdr:graphicFrame macro="">
      <xdr:nvGraphicFramePr>
        <xdr:cNvPr id="8" name="Chart 7">
          <a:extLst>
            <a:ext uri="{FF2B5EF4-FFF2-40B4-BE49-F238E27FC236}">
              <a16:creationId xmlns:a16="http://schemas.microsoft.com/office/drawing/2014/main" id="{C59B7975-99F2-B0C4-D2CA-0D474690A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516516</xdr:colOff>
      <xdr:row>21</xdr:row>
      <xdr:rowOff>98164</xdr:rowOff>
    </xdr:from>
    <xdr:to>
      <xdr:col>11</xdr:col>
      <xdr:colOff>1314375</xdr:colOff>
      <xdr:row>29</xdr:row>
      <xdr:rowOff>164353</xdr:rowOff>
    </xdr:to>
    <mc:AlternateContent xmlns:mc="http://schemas.openxmlformats.org/markup-compatibility/2006">
      <mc:Choice xmlns:a14="http://schemas.microsoft.com/office/drawing/2010/main" Requires="a14">
        <xdr:graphicFrame macro="">
          <xdr:nvGraphicFramePr>
            <xdr:cNvPr id="4" name="Product_Category 1">
              <a:extLst>
                <a:ext uri="{FF2B5EF4-FFF2-40B4-BE49-F238E27FC236}">
                  <a16:creationId xmlns:a16="http://schemas.microsoft.com/office/drawing/2014/main" id="{CD8B1F56-5BFD-AFB4-A1C5-158299B478EA}"/>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9600751" y="3863340"/>
              <a:ext cx="1828800" cy="1500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120830</xdr:colOff>
      <xdr:row>4</xdr:row>
      <xdr:rowOff>121625</xdr:rowOff>
    </xdr:from>
    <xdr:to>
      <xdr:col>12</xdr:col>
      <xdr:colOff>296883</xdr:colOff>
      <xdr:row>11</xdr:row>
      <xdr:rowOff>69273</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CA39CAEA-6136-72C9-A388-A18BC5A80E73}"/>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4456762" y="844879"/>
              <a:ext cx="1997104" cy="1213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131123</xdr:colOff>
      <xdr:row>12</xdr:row>
      <xdr:rowOff>62248</xdr:rowOff>
    </xdr:from>
    <xdr:to>
      <xdr:col>12</xdr:col>
      <xdr:colOff>346364</xdr:colOff>
      <xdr:row>20</xdr:row>
      <xdr:rowOff>138546</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E08B75B8-88A9-F11D-36A3-5C44F34BE6F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467055" y="2232011"/>
              <a:ext cx="2036292" cy="1522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1393869</xdr:colOff>
      <xdr:row>23</xdr:row>
      <xdr:rowOff>35097</xdr:rowOff>
    </xdr:from>
    <xdr:to>
      <xdr:col>7</xdr:col>
      <xdr:colOff>1411429</xdr:colOff>
      <xdr:row>43</xdr:row>
      <xdr:rowOff>32450</xdr:rowOff>
    </xdr:to>
    <xdr:graphicFrame macro="">
      <xdr:nvGraphicFramePr>
        <xdr:cNvPr id="6" name="Chart 5">
          <a:extLst>
            <a:ext uri="{FF2B5EF4-FFF2-40B4-BE49-F238E27FC236}">
              <a16:creationId xmlns:a16="http://schemas.microsoft.com/office/drawing/2014/main" id="{1978265E-7387-DE77-A84D-585403807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3.88269849537" createdVersion="8" refreshedVersion="8" minRefreshableVersion="3" recordCount="100" xr:uid="{C8EDDE0D-DC82-48A1-882B-107992A85DA9}">
  <cacheSource type="worksheet">
    <worksheetSource name="SalesData"/>
  </cacheSource>
  <cacheFields count="21">
    <cacheField name="Order_ID" numFmtId="0">
      <sharedItems/>
    </cacheField>
    <cacheField name="Order_Date" numFmtId="14">
      <sharedItems containsSemiMixedTypes="0" containsNonDate="0" containsDate="1" containsString="0" minDate="2024-01-05T00:00:00" maxDate="2024-09-11T00:00:00" count="100">
        <d v="2024-04-03T00:00:00"/>
        <d v="2024-05-03T00:00:00"/>
        <d v="2024-02-22T00:00:00"/>
        <d v="2024-06-22T00:00:00"/>
        <d v="2024-07-03T00:00:00"/>
        <d v="2024-03-22T00:00:00"/>
        <d v="2024-07-22T00:00:00"/>
        <d v="2024-01-05T00:00:00"/>
        <d v="2024-06-03T00:00:00"/>
        <d v="2024-05-12T00:00:00"/>
        <d v="2024-08-22T00:00:00"/>
        <d v="2024-06-12T00:00:00"/>
        <d v="2024-04-12T00:00:00"/>
        <d v="2024-09-03T00:00:00"/>
        <d v="2024-01-22T00:00:00"/>
        <d v="2024-07-12T00:00:00"/>
        <d v="2024-05-22T00:00:00"/>
        <d v="2024-01-12T00:00:00"/>
        <d v="2024-08-03T00:00:00"/>
        <d v="2024-04-22T00:00:00"/>
        <d v="2024-03-12T00:00:00"/>
        <d v="2024-02-03T00:00:00"/>
        <d v="2024-03-03T00:00:00"/>
        <d v="2024-02-12T00:00:00"/>
        <d v="2024-08-12T00:00:00"/>
        <d v="2024-06-15T00:00:00"/>
        <d v="2024-04-15T00:00:00"/>
        <d v="2024-06-05T00:00:00"/>
        <d v="2024-01-07T00:00:00"/>
        <d v="2024-07-15T00:00:00"/>
        <d v="2024-04-25T00:00:00"/>
        <d v="2024-07-05T00:00:00"/>
        <d v="2024-05-15T00:00:00"/>
        <d v="2024-07-25T00:00:00"/>
        <d v="2024-08-15T00:00:00"/>
        <d v="2024-08-25T00:00:00"/>
        <d v="2024-03-05T00:00:00"/>
        <d v="2024-03-15T00:00:00"/>
        <d v="2024-02-25T00:00:00"/>
        <d v="2024-02-15T00:00:00"/>
        <d v="2024-01-15T00:00:00"/>
        <d v="2024-01-25T00:00:00"/>
        <d v="2024-05-25T00:00:00"/>
        <d v="2024-04-05T00:00:00"/>
        <d v="2024-08-05T00:00:00"/>
        <d v="2024-03-25T00:00:00"/>
        <d v="2024-05-05T00:00:00"/>
        <d v="2024-02-05T00:00:00"/>
        <d v="2024-06-25T00:00:00"/>
        <d v="2024-09-05T00:00:00"/>
        <d v="2024-08-08T00:00:00"/>
        <d v="2024-04-28T00:00:00"/>
        <d v="2024-05-08T00:00:00"/>
        <d v="2024-08-18T00:00:00"/>
        <d v="2024-02-18T00:00:00"/>
        <d v="2024-01-18T00:00:00"/>
        <d v="2024-01-28T00:00:00"/>
        <d v="2024-01-08T00:00:00"/>
        <d v="2024-02-08T00:00:00"/>
        <d v="2024-07-18T00:00:00"/>
        <d v="2024-03-28T00:00:00"/>
        <d v="2024-07-08T00:00:00"/>
        <d v="2024-03-08T00:00:00"/>
        <d v="2024-03-18T00:00:00"/>
        <d v="2024-06-18T00:00:00"/>
        <d v="2024-05-18T00:00:00"/>
        <d v="2024-04-08T00:00:00"/>
        <d v="2024-06-08T00:00:00"/>
        <d v="2024-04-18T00:00:00"/>
        <d v="2024-05-28T00:00:00"/>
        <d v="2024-06-28T00:00:00"/>
        <d v="2024-07-28T00:00:00"/>
        <d v="2024-09-08T00:00:00"/>
        <d v="2024-02-28T00:00:00"/>
        <d v="2024-08-28T00:00:00"/>
        <d v="2024-03-10T00:00:00"/>
        <d v="2024-04-20T00:00:00"/>
        <d v="2024-07-01T00:00:00"/>
        <d v="2024-07-10T00:00:00"/>
        <d v="2024-02-20T00:00:00"/>
        <d v="2024-01-10T00:00:00"/>
        <d v="2024-06-10T00:00:00"/>
        <d v="2024-09-01T00:00:00"/>
        <d v="2024-06-01T00:00:00"/>
        <d v="2024-04-10T00:00:00"/>
        <d v="2024-02-01T00:00:00"/>
        <d v="2024-06-20T00:00:00"/>
        <d v="2024-04-01T00:00:00"/>
        <d v="2024-08-10T00:00:00"/>
        <d v="2024-09-10T00:00:00"/>
        <d v="2024-05-01T00:00:00"/>
        <d v="2024-03-01T00:00:00"/>
        <d v="2024-01-20T00:00:00"/>
        <d v="2024-08-01T00:00:00"/>
        <d v="2024-07-20T00:00:00"/>
        <d v="2024-03-20T00:00:00"/>
        <d v="2024-02-10T00:00:00"/>
        <d v="2024-05-20T00:00:00"/>
        <d v="2024-05-10T00:00:00"/>
        <d v="2024-08-20T00:00:00"/>
      </sharedItems>
    </cacheField>
    <cacheField name="Month" numFmtId="14">
      <sharedItems count="9">
        <s v="April"/>
        <s v="May"/>
        <s v="February"/>
        <s v="June"/>
        <s v="July"/>
        <s v="March"/>
        <s v="January"/>
        <s v="August"/>
        <s v="September"/>
      </sharedItems>
    </cacheField>
    <cacheField name="Customer_Name" numFmtId="0">
      <sharedItems count="100">
        <s v="Justin Edwards"/>
        <s v="Gregory Cooper"/>
        <s v="Joseph Lopez"/>
        <s v="Roger Coleman"/>
        <s v="Arthur Long"/>
        <s v="Jason Phillips"/>
        <s v="Russell Gonzales"/>
        <s v="John Smith"/>
        <s v="Walter Kelly"/>
        <s v="Jonathan Ward"/>
        <s v="Henry Wallace"/>
        <s v="Gerald Wood"/>
        <s v="Eric Rogers"/>
        <s v="Joe Newman"/>
        <s v="Robert Thomas"/>
        <s v="Louis Washington"/>
        <s v="Dennis Ramirez"/>
        <s v="David Wilson"/>
        <s v="Randy Griffin"/>
        <s v="Nicholas Bell"/>
        <s v="George Mitchell"/>
        <s v="Christopher Clark"/>
        <s v="Paul Adams"/>
        <s v="Matthew Allen"/>
        <s v="Jack Ford"/>
        <s v="Judith Barnes"/>
        <s v="Rebecca Reed"/>
        <s v="Teresa Sanders"/>
        <s v="Sarah Johnson"/>
        <s v="Evelyn Butler"/>
        <s v="Deborah Murphy"/>
        <s v="Frances Patterson"/>
        <s v="Barbara Torres"/>
        <s v="Cheryl Bryant"/>
        <s v="Ann Hamilton"/>
        <s v="Diana Woods"/>
        <s v="Carol Baker"/>
        <s v="Sharon Perez"/>
        <s v="Sandra Hill"/>
        <s v="Karen Young"/>
        <s v="Lisa Anderson"/>
        <s v="Jennifer Lee"/>
        <s v="Lisa James"/>
        <s v="Amanda Collins"/>
        <s v="Kathryn Diaz"/>
        <s v="Michelle Campbell"/>
        <s v="Helen Richardson"/>
        <s v="Jessica Lewis"/>
        <s v="Mildred Jenkins"/>
        <s v="Frances Hunter"/>
        <s v="Philip Hayes"/>
        <s v="Scott Bailey"/>
        <s v="Frank Cox"/>
        <s v="Carl Graham"/>
        <s v="Steven King"/>
        <s v="James Martinez"/>
        <s v="William White"/>
        <s v="Michael Brown"/>
        <s v="Daniel Walker"/>
        <s v="Eugene Simmons"/>
        <s v="Ryan Parker"/>
        <s v="Roy Hughes"/>
        <s v="Mark Nelson"/>
        <s v="Brian Roberts"/>
        <s v="Larry Ross"/>
        <s v="Raymond Peterson"/>
        <s v="Brandon Stewart"/>
        <s v="Harold Price"/>
        <s v="Gary Cook"/>
        <s v="Jerry Watson"/>
        <s v="Albert Perry"/>
        <s v="Ralph Alexander"/>
        <s v="Willie Berry"/>
        <s v="Kevin Scott"/>
        <s v="Peter West"/>
        <s v="Ruth Carter"/>
        <s v="Virginia Morgan"/>
        <s v="Julia Powell"/>
        <s v="Janice Flores"/>
        <s v="Betty Wright"/>
        <s v="Emily Davis"/>
        <s v="Gloria Bennett"/>
        <s v="Alice Cole"/>
        <s v="Janet Brooks"/>
        <s v="Stephanie Morris"/>
        <s v="Mary Harris"/>
        <s v="Rose Henderson"/>
        <s v="Laura Evans"/>
        <s v="Shirley Myers"/>
        <s v="Norma Jordan"/>
        <s v="Catherine Rivera"/>
        <s v="Donna Green"/>
        <s v="Patricia Taylor"/>
        <s v="Joan Russell"/>
        <s v="Joyce Foster"/>
        <s v="Dorothy Turner"/>
        <s v="Nancy Hall"/>
        <s v="Kathleen Gray"/>
        <s v="Angela Howard"/>
        <s v="Martha Sullivan"/>
      </sharedItems>
    </cacheField>
    <cacheField name="Customer_Email" numFmtId="0">
      <sharedItems/>
    </cacheField>
    <cacheField name="Region" numFmtId="0">
      <sharedItems count="4">
        <s v="North"/>
        <s v="South"/>
        <s v="East"/>
        <s v="West"/>
      </sharedItems>
    </cacheField>
    <cacheField name="City" numFmtId="0">
      <sharedItems/>
    </cacheField>
    <cacheField name="Product_Category" numFmtId="0">
      <sharedItems count="4">
        <s v="Books"/>
        <s v="Clothing"/>
        <s v="Home &amp; Garden"/>
        <s v="Electronics"/>
      </sharedItems>
    </cacheField>
    <cacheField name="Product_Name" numFmtId="0">
      <sharedItems count="100">
        <s v="Cookbook"/>
        <s v="Track Pants"/>
        <s v="Wall Clock"/>
        <s v="Philosophy"/>
        <s v="Poetry"/>
        <s v="History Book"/>
        <s v="Gloves"/>
        <s v="Wireless Mouse"/>
        <s v="Coat Rack"/>
        <s v="Screen Protector"/>
        <s v="Key Holder"/>
        <s v="Cable Organizer"/>
        <s v="Power Bank"/>
        <s v="Mirror"/>
        <s v="Webcam"/>
        <s v="Car Charger"/>
        <s v="Floor Mat"/>
        <s v="Keyboard"/>
        <s v="Socks Pack"/>
        <s v="Sweatshirt"/>
        <s v="External Hard Drive"/>
        <s v="Winter Jacket"/>
        <s v="Cushion Set"/>
        <s v="Monitor"/>
        <s v="VR Headset"/>
        <s v="Napkin Holder"/>
        <s v="Biography"/>
        <s v="Phone Holder"/>
        <s v="Plant Pot Set"/>
        <s v="Memoir"/>
        <s v="Travel Guide"/>
        <s v="Ring Light"/>
        <s v="Formal Shirt"/>
        <s v="Graphic Novel"/>
        <s v="Wallet"/>
        <s v="Sunglasses"/>
        <s v="Phone Case"/>
        <s v="Picture Frame"/>
        <s v="Sports Shoes"/>
        <s v="Summer Dress"/>
        <s v="Garden Tools"/>
        <s v="Business Strategy"/>
        <s v="Cardigan"/>
        <s v="Tablet Stand"/>
        <s v="Smart Light"/>
        <s v="Throw Blanket"/>
        <s v="Desk Lamp"/>
        <s v="Headphones"/>
        <s v="Dish Set"/>
        <s v="Action Camera"/>
        <s v="Romance"/>
        <s v="USB Hub"/>
        <s v="Science Fiction"/>
        <s v="Horror"/>
        <s v="Marketing 101"/>
        <s v="Programming Guide"/>
        <s v="Laptop Stand"/>
        <s v="USB Cable"/>
        <s v="Data Science"/>
        <s v="Cutting Board"/>
        <s v="Gaming Mouse"/>
        <s v="Trash Can"/>
        <s v="Polo Shirt"/>
        <s v="Baseball Cap"/>
        <s v="Scarf"/>
        <s v="Mystery Novel"/>
        <s v="Candle Set"/>
        <s v="Running Shorts"/>
        <s v="Storage Box"/>
        <s v="Stylus Pen"/>
        <s v="Smart Plug"/>
        <s v="Microphone"/>
        <s v="Winter Boots"/>
        <s v="Smart Watch"/>
        <s v="Drone"/>
        <s v="Fiction Novel"/>
        <s v="Wireless Charger"/>
        <s v="Leather Belt"/>
        <s v="Beach Hat"/>
        <s v="Mouse Pad"/>
        <s v="Cotton T-Shirt"/>
        <s v="Psychology"/>
        <s v="Children's Book"/>
        <s v="Art Book"/>
        <s v="Yoga Pants"/>
        <s v="Decorative Vase"/>
        <s v="Laptop Bag"/>
        <s v="Hoodie"/>
        <s v="Utensil Set"/>
        <s v="Educational"/>
        <s v="Serving Tray"/>
        <s v="Self Help"/>
        <s v="Denim Jeans"/>
        <s v="Planter"/>
        <s v="Fitness Tracker"/>
        <s v="Bluetooth Speaker"/>
        <s v="LED Lamp"/>
        <s v="Camera Lens"/>
        <s v="Wall Art"/>
        <s v="Smart Doorbell"/>
      </sharedItems>
    </cacheField>
    <cacheField name="Quantity" numFmtId="0">
      <sharedItems containsSemiMixedTypes="0" containsString="0" containsNumber="1" containsInteger="1" minValue="1" maxValue="6"/>
    </cacheField>
    <cacheField name="Unit_Price" numFmtId="0">
      <sharedItems containsSemiMixedTypes="0" containsString="0" containsNumber="1" minValue="9.99" maxValue="499.99"/>
    </cacheField>
    <cacheField name="Subtotal" numFmtId="0">
      <sharedItems containsSemiMixedTypes="0" containsString="0" containsNumber="1" minValue="24.99" maxValue="499.99"/>
    </cacheField>
    <cacheField name="Discount_Percent" numFmtId="0">
      <sharedItems containsSemiMixedTypes="0" containsString="0" containsNumber="1" containsInteger="1" minValue="0" maxValue="25"/>
    </cacheField>
    <cacheField name="Discount_Amount" numFmtId="0">
      <sharedItems containsSemiMixedTypes="0" containsString="0" containsNumber="1" minValue="0" maxValue="79.998000000000005"/>
    </cacheField>
    <cacheField name="Net_Amount" numFmtId="0">
      <sharedItems containsSemiMixedTypes="0" containsString="0" containsNumber="1" minValue="24.99" maxValue="449.99099999999999"/>
    </cacheField>
    <cacheField name="Shipping_Cost" numFmtId="0">
      <sharedItems containsSemiMixedTypes="0" containsString="0" containsNumber="1" minValue="2.99" maxValue="24.99"/>
    </cacheField>
    <cacheField name="Total Order Value" numFmtId="0">
      <sharedItems containsSemiMixedTypes="0" containsString="0" containsNumber="1" minValue="28.49" maxValue="474.98099999999999"/>
    </cacheField>
    <cacheField name="Revenue Category" numFmtId="0">
      <sharedItems count="3">
        <s v="Low Value"/>
        <s v="Medium Value"/>
        <s v="High Value"/>
      </sharedItems>
    </cacheField>
    <cacheField name="Payment_Method" numFmtId="0">
      <sharedItems/>
    </cacheField>
    <cacheField name="Order_Status" numFmtId="0">
      <sharedItems count="3">
        <s v="Delivered"/>
        <s v="Processing"/>
        <s v="Cancelled"/>
      </sharedItems>
    </cacheField>
    <cacheField name="Avg Order Value" numFmtId="0" formula="'Total Order Value'/Order_ID" databaseField="0"/>
  </cacheFields>
  <extLst>
    <ext xmlns:x14="http://schemas.microsoft.com/office/spreadsheetml/2009/9/main" uri="{725AE2AE-9491-48be-B2B4-4EB974FC3084}">
      <x14:pivotCacheDefinition pivotCacheId="1715764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37"/>
    <x v="0"/>
    <x v="0"/>
    <x v="0"/>
    <s v="justin.e@email.com"/>
    <x v="0"/>
    <s v="Minneapolis"/>
    <x v="0"/>
    <x v="0"/>
    <n v="1"/>
    <n v="34.99"/>
    <n v="34.99"/>
    <n v="5"/>
    <n v="1.7495000000000003"/>
    <n v="33.240500000000004"/>
    <n v="3.99"/>
    <n v="37.230500000000006"/>
    <x v="0"/>
    <s v="Debit Card"/>
    <x v="0"/>
  </r>
  <r>
    <s v="ORD-1049"/>
    <x v="1"/>
    <x v="1"/>
    <x v="1"/>
    <s v="gregory.c@email.com"/>
    <x v="0"/>
    <s v="Minneapolis"/>
    <x v="1"/>
    <x v="1"/>
    <n v="1"/>
    <n v="44.99"/>
    <n v="44.99"/>
    <n v="25"/>
    <n v="11.2475"/>
    <n v="33.7425"/>
    <n v="6.5"/>
    <n v="40.2425"/>
    <x v="0"/>
    <s v="PayPal"/>
    <x v="0"/>
  </r>
  <r>
    <s v="ORD-1021"/>
    <x v="2"/>
    <x v="2"/>
    <x v="2"/>
    <s v="joseph.l@email.com"/>
    <x v="0"/>
    <s v="Detroit"/>
    <x v="2"/>
    <x v="2"/>
    <n v="1"/>
    <n v="39.99"/>
    <n v="39.99"/>
    <n v="10"/>
    <n v="3.9990000000000006"/>
    <n v="35.991"/>
    <n v="5.99"/>
    <n v="41.981000000000002"/>
    <x v="0"/>
    <s v="Credit Card"/>
    <x v="0"/>
  </r>
  <r>
    <s v="ORD-1069"/>
    <x v="3"/>
    <x v="3"/>
    <x v="3"/>
    <s v="roger.c@email.com"/>
    <x v="0"/>
    <s v="Detroit"/>
    <x v="0"/>
    <x v="3"/>
    <n v="1"/>
    <n v="44.99"/>
    <n v="44.99"/>
    <n v="0"/>
    <n v="0"/>
    <n v="44.99"/>
    <n v="4.5"/>
    <n v="49.49"/>
    <x v="0"/>
    <s v="Credit Card"/>
    <x v="0"/>
  </r>
  <r>
    <s v="ORD-1073"/>
    <x v="4"/>
    <x v="4"/>
    <x v="4"/>
    <s v="arthur.l@email.com"/>
    <x v="0"/>
    <s v="Minneapolis"/>
    <x v="0"/>
    <x v="4"/>
    <n v="2"/>
    <n v="24.99"/>
    <n v="49.98"/>
    <n v="0"/>
    <n v="0"/>
    <n v="49.98"/>
    <n v="3.99"/>
    <n v="53.97"/>
    <x v="0"/>
    <s v="PayPal"/>
    <x v="0"/>
  </r>
  <r>
    <s v="ORD-1033"/>
    <x v="5"/>
    <x v="5"/>
    <x v="5"/>
    <s v="jason.p@email.com"/>
    <x v="0"/>
    <s v="Detroit"/>
    <x v="0"/>
    <x v="5"/>
    <n v="1"/>
    <n v="49.99"/>
    <n v="49.99"/>
    <n v="0"/>
    <n v="0"/>
    <n v="49.99"/>
    <n v="4.99"/>
    <n v="54.980000000000004"/>
    <x v="0"/>
    <s v="Debit Card"/>
    <x v="0"/>
  </r>
  <r>
    <s v="ORD-1081"/>
    <x v="6"/>
    <x v="4"/>
    <x v="6"/>
    <s v="russell.g@email.com"/>
    <x v="0"/>
    <s v="Detroit"/>
    <x v="1"/>
    <x v="6"/>
    <n v="4"/>
    <n v="14.99"/>
    <n v="59.96"/>
    <n v="10"/>
    <n v="5.9960000000000004"/>
    <n v="53.963999999999999"/>
    <n v="4.5"/>
    <n v="58.463999999999999"/>
    <x v="0"/>
    <s v="Credit Card"/>
    <x v="0"/>
  </r>
  <r>
    <s v="ORD-1001"/>
    <x v="7"/>
    <x v="6"/>
    <x v="7"/>
    <s v="john.smith@email.com"/>
    <x v="0"/>
    <s v="New York"/>
    <x v="3"/>
    <x v="7"/>
    <n v="2"/>
    <n v="29.99"/>
    <n v="59.98"/>
    <n v="10"/>
    <n v="5.9980000000000002"/>
    <n v="53.981999999999999"/>
    <n v="5.99"/>
    <n v="59.972000000000001"/>
    <x v="0"/>
    <s v="Credit Card"/>
    <x v="0"/>
  </r>
  <r>
    <s v="ORD-1061"/>
    <x v="8"/>
    <x v="3"/>
    <x v="8"/>
    <s v="walter.k@email.com"/>
    <x v="0"/>
    <s v="Minneapolis"/>
    <x v="2"/>
    <x v="8"/>
    <n v="1"/>
    <n v="69.989999999999995"/>
    <n v="69.989999999999995"/>
    <n v="15"/>
    <n v="10.498499999999998"/>
    <n v="59.491499999999995"/>
    <n v="8.99"/>
    <n v="68.481499999999997"/>
    <x v="0"/>
    <s v="Debit Card"/>
    <x v="0"/>
  </r>
  <r>
    <s v="ORD-1053"/>
    <x v="9"/>
    <x v="1"/>
    <x v="9"/>
    <s v="jonathan.w@email.com"/>
    <x v="0"/>
    <s v="Chicago"/>
    <x v="3"/>
    <x v="9"/>
    <n v="5"/>
    <n v="14.99"/>
    <n v="74.95"/>
    <n v="10"/>
    <n v="7.495000000000001"/>
    <n v="67.454999999999998"/>
    <n v="2.99"/>
    <n v="70.444999999999993"/>
    <x v="0"/>
    <s v="Credit Card"/>
    <x v="1"/>
  </r>
  <r>
    <s v="ORD-1093"/>
    <x v="10"/>
    <x v="7"/>
    <x v="10"/>
    <s v="henry.w@email.com"/>
    <x v="0"/>
    <s v="Detroit"/>
    <x v="2"/>
    <x v="10"/>
    <n v="4"/>
    <n v="17.989999999999998"/>
    <n v="71.959999999999994"/>
    <n v="5"/>
    <n v="3.5979999999999999"/>
    <n v="68.361999999999995"/>
    <n v="4.5"/>
    <n v="72.861999999999995"/>
    <x v="0"/>
    <s v="Debit Card"/>
    <x v="2"/>
  </r>
  <r>
    <s v="ORD-1065"/>
    <x v="11"/>
    <x v="3"/>
    <x v="11"/>
    <s v="gerald.w@email.com"/>
    <x v="0"/>
    <s v="Chicago"/>
    <x v="3"/>
    <x v="11"/>
    <n v="6"/>
    <n v="12.99"/>
    <n v="77.94"/>
    <n v="5"/>
    <n v="3.8970000000000002"/>
    <n v="74.042999999999992"/>
    <n v="2.99"/>
    <n v="77.032999999999987"/>
    <x v="0"/>
    <s v="Debit Card"/>
    <x v="2"/>
  </r>
  <r>
    <s v="ORD-1041"/>
    <x v="12"/>
    <x v="0"/>
    <x v="12"/>
    <s v="eric.r@email.com"/>
    <x v="0"/>
    <s v="Chicago"/>
    <x v="3"/>
    <x v="12"/>
    <n v="2"/>
    <n v="44.99"/>
    <n v="89.98"/>
    <n v="15"/>
    <n v="13.497"/>
    <n v="76.483000000000004"/>
    <n v="5.5"/>
    <n v="81.983000000000004"/>
    <x v="0"/>
    <s v="Credit Card"/>
    <x v="0"/>
  </r>
  <r>
    <s v="ORD-1097"/>
    <x v="13"/>
    <x v="8"/>
    <x v="13"/>
    <s v="joe.n@email.com"/>
    <x v="0"/>
    <s v="Minneapolis"/>
    <x v="2"/>
    <x v="13"/>
    <n v="1"/>
    <n v="89.99"/>
    <n v="89.99"/>
    <n v="20"/>
    <n v="17.998000000000001"/>
    <n v="71.99199999999999"/>
    <n v="11.99"/>
    <n v="83.981999999999985"/>
    <x v="0"/>
    <s v="Credit Card"/>
    <x v="0"/>
  </r>
  <r>
    <s v="ORD-1009"/>
    <x v="14"/>
    <x v="6"/>
    <x v="14"/>
    <s v="robert.t@email.com"/>
    <x v="0"/>
    <s v="Detroit"/>
    <x v="3"/>
    <x v="14"/>
    <n v="1"/>
    <n v="79.989999999999995"/>
    <n v="79.989999999999995"/>
    <n v="0"/>
    <n v="0"/>
    <n v="79.989999999999995"/>
    <n v="6.5"/>
    <n v="86.49"/>
    <x v="0"/>
    <s v="Debit Card"/>
    <x v="1"/>
  </r>
  <r>
    <s v="ORD-1077"/>
    <x v="15"/>
    <x v="4"/>
    <x v="15"/>
    <s v="louis.w@email.com"/>
    <x v="0"/>
    <s v="Chicago"/>
    <x v="3"/>
    <x v="15"/>
    <n v="5"/>
    <n v="19.989999999999998"/>
    <n v="99.949999999999989"/>
    <n v="15"/>
    <n v="14.992499999999998"/>
    <n v="84.957499999999996"/>
    <n v="3.99"/>
    <n v="88.947499999999991"/>
    <x v="0"/>
    <s v="PayPal"/>
    <x v="0"/>
  </r>
  <r>
    <s v="ORD-1057"/>
    <x v="16"/>
    <x v="1"/>
    <x v="16"/>
    <s v="dennis.r@email.com"/>
    <x v="0"/>
    <s v="Detroit"/>
    <x v="2"/>
    <x v="16"/>
    <n v="3"/>
    <n v="29.99"/>
    <n v="89.97"/>
    <n v="5"/>
    <n v="4.4984999999999999"/>
    <n v="85.471499999999992"/>
    <n v="5.99"/>
    <n v="91.461499999999987"/>
    <x v="0"/>
    <s v="Credit Card"/>
    <x v="0"/>
  </r>
  <r>
    <s v="ORD-1005"/>
    <x v="17"/>
    <x v="6"/>
    <x v="17"/>
    <s v="d.wilson@email.com"/>
    <x v="0"/>
    <s v="Chicago"/>
    <x v="3"/>
    <x v="17"/>
    <n v="1"/>
    <n v="89.99"/>
    <n v="89.99"/>
    <n v="5"/>
    <n v="4.4995000000000003"/>
    <n v="85.490499999999997"/>
    <n v="8.99"/>
    <n v="94.480499999999992"/>
    <x v="0"/>
    <s v="Credit Card"/>
    <x v="0"/>
  </r>
  <r>
    <s v="ORD-1085"/>
    <x v="18"/>
    <x v="7"/>
    <x v="18"/>
    <s v="randy.g@email.com"/>
    <x v="0"/>
    <s v="Minneapolis"/>
    <x v="1"/>
    <x v="18"/>
    <n v="6"/>
    <n v="19.989999999999998"/>
    <n v="119.94"/>
    <n v="25"/>
    <n v="29.984999999999999"/>
    <n v="89.954999999999998"/>
    <n v="4.99"/>
    <n v="94.944999999999993"/>
    <x v="0"/>
    <s v="Credit Card"/>
    <x v="0"/>
  </r>
  <r>
    <s v="ORD-1045"/>
    <x v="19"/>
    <x v="0"/>
    <x v="19"/>
    <s v="nicholas.b@email.com"/>
    <x v="0"/>
    <s v="Detroit"/>
    <x v="1"/>
    <x v="19"/>
    <n v="2"/>
    <n v="54.99"/>
    <n v="109.98"/>
    <n v="20"/>
    <n v="21.996000000000002"/>
    <n v="87.984000000000009"/>
    <n v="7.99"/>
    <n v="95.974000000000004"/>
    <x v="0"/>
    <s v="PayPal"/>
    <x v="1"/>
  </r>
  <r>
    <s v="ORD-1029"/>
    <x v="20"/>
    <x v="5"/>
    <x v="20"/>
    <s v="george.m@email.com"/>
    <x v="0"/>
    <s v="Chicago"/>
    <x v="3"/>
    <x v="20"/>
    <n v="1"/>
    <n v="119.99"/>
    <n v="119.99"/>
    <n v="15"/>
    <n v="17.9985"/>
    <n v="101.9915"/>
    <n v="9.99"/>
    <n v="111.9815"/>
    <x v="1"/>
    <s v="Credit Card"/>
    <x v="0"/>
  </r>
  <r>
    <s v="ORD-1013"/>
    <x v="21"/>
    <x v="2"/>
    <x v="21"/>
    <s v="chris.c@email.com"/>
    <x v="0"/>
    <s v="Minneapolis"/>
    <x v="1"/>
    <x v="21"/>
    <n v="1"/>
    <n v="129.99"/>
    <n v="129.99"/>
    <n v="20"/>
    <n v="25.998000000000005"/>
    <n v="103.992"/>
    <n v="12.99"/>
    <n v="116.982"/>
    <x v="1"/>
    <s v="Credit Card"/>
    <x v="0"/>
  </r>
  <r>
    <s v="ORD-1025"/>
    <x v="22"/>
    <x v="5"/>
    <x v="22"/>
    <s v="paul.a@email.com"/>
    <x v="0"/>
    <s v="Minneapolis"/>
    <x v="2"/>
    <x v="22"/>
    <n v="2"/>
    <n v="54.99"/>
    <n v="109.98"/>
    <n v="0"/>
    <n v="0"/>
    <n v="109.98"/>
    <n v="8.5"/>
    <n v="118.48"/>
    <x v="1"/>
    <s v="Credit Card"/>
    <x v="0"/>
  </r>
  <r>
    <s v="ORD-1017"/>
    <x v="23"/>
    <x v="2"/>
    <x v="23"/>
    <s v="matt.a@email.com"/>
    <x v="0"/>
    <s v="Chicago"/>
    <x v="3"/>
    <x v="23"/>
    <n v="1"/>
    <n v="299.99"/>
    <n v="299.99"/>
    <n v="10"/>
    <n v="29.999000000000002"/>
    <n v="269.99099999999999"/>
    <n v="15.99"/>
    <n v="285.98099999999999"/>
    <x v="2"/>
    <s v="Credit Card"/>
    <x v="0"/>
  </r>
  <r>
    <s v="ORD-1089"/>
    <x v="24"/>
    <x v="7"/>
    <x v="24"/>
    <s v="jack.f@email.com"/>
    <x v="0"/>
    <s v="Chicago"/>
    <x v="3"/>
    <x v="24"/>
    <n v="1"/>
    <n v="399.99"/>
    <n v="399.99"/>
    <n v="20"/>
    <n v="79.998000000000005"/>
    <n v="319.99200000000002"/>
    <n v="19.989999999999998"/>
    <n v="339.98200000000003"/>
    <x v="2"/>
    <s v="Debit Card"/>
    <x v="0"/>
  </r>
  <r>
    <s v="ORD-1066"/>
    <x v="25"/>
    <x v="3"/>
    <x v="25"/>
    <s v="judith.b@email.com"/>
    <x v="1"/>
    <s v="Miami"/>
    <x v="2"/>
    <x v="25"/>
    <n v="2"/>
    <n v="24.99"/>
    <n v="49.98"/>
    <n v="15"/>
    <n v="7.496999999999999"/>
    <n v="42.482999999999997"/>
    <n v="5.5"/>
    <n v="47.982999999999997"/>
    <x v="0"/>
    <s v="PayPal"/>
    <x v="0"/>
  </r>
  <r>
    <s v="ORD-1042"/>
    <x v="26"/>
    <x v="0"/>
    <x v="26"/>
    <s v="rebecca.r@email.com"/>
    <x v="1"/>
    <s v="Atlanta"/>
    <x v="0"/>
    <x v="26"/>
    <n v="1"/>
    <n v="44.99"/>
    <n v="44.99"/>
    <n v="0"/>
    <n v="0"/>
    <n v="44.99"/>
    <n v="4.5"/>
    <n v="49.49"/>
    <x v="0"/>
    <s v="PayPal"/>
    <x v="0"/>
  </r>
  <r>
    <s v="ORD-1062"/>
    <x v="27"/>
    <x v="3"/>
    <x v="27"/>
    <s v="teresa.s@email.com"/>
    <x v="1"/>
    <s v="Dallas"/>
    <x v="3"/>
    <x v="27"/>
    <n v="3"/>
    <n v="19.989999999999998"/>
    <n v="59.97"/>
    <n v="20"/>
    <n v="11.994"/>
    <n v="47.975999999999999"/>
    <n v="4.5"/>
    <n v="52.475999999999999"/>
    <x v="0"/>
    <s v="Credit Card"/>
    <x v="0"/>
  </r>
  <r>
    <s v="ORD-1002"/>
    <x v="28"/>
    <x v="6"/>
    <x v="28"/>
    <s v="sarah.j@email.com"/>
    <x v="1"/>
    <s v="Miami"/>
    <x v="2"/>
    <x v="28"/>
    <n v="1"/>
    <n v="45.5"/>
    <n v="45.5"/>
    <n v="0"/>
    <n v="0"/>
    <n v="45.5"/>
    <n v="7.5"/>
    <n v="53"/>
    <x v="0"/>
    <s v="PayPal"/>
    <x v="0"/>
  </r>
  <r>
    <s v="ORD-1078"/>
    <x v="29"/>
    <x v="4"/>
    <x v="29"/>
    <s v="evelyn.b@email.com"/>
    <x v="1"/>
    <s v="Dallas"/>
    <x v="0"/>
    <x v="29"/>
    <n v="1"/>
    <n v="49.99"/>
    <n v="49.99"/>
    <n v="0"/>
    <n v="0"/>
    <n v="49.99"/>
    <n v="4.99"/>
    <n v="54.980000000000004"/>
    <x v="0"/>
    <s v="Credit Card"/>
    <x v="0"/>
  </r>
  <r>
    <s v="ORD-1046"/>
    <x v="30"/>
    <x v="0"/>
    <x v="30"/>
    <s v="deborah.m@email.com"/>
    <x v="1"/>
    <s v="Dallas"/>
    <x v="0"/>
    <x v="30"/>
    <n v="2"/>
    <n v="29.99"/>
    <n v="59.98"/>
    <n v="15"/>
    <n v="8.9969999999999999"/>
    <n v="50.982999999999997"/>
    <n v="4.99"/>
    <n v="55.972999999999999"/>
    <x v="0"/>
    <s v="Credit Card"/>
    <x v="0"/>
  </r>
  <r>
    <s v="ORD-1074"/>
    <x v="31"/>
    <x v="4"/>
    <x v="31"/>
    <s v="frances.p@email.com"/>
    <x v="1"/>
    <s v="Atlanta"/>
    <x v="3"/>
    <x v="31"/>
    <n v="1"/>
    <n v="59.99"/>
    <n v="59.99"/>
    <n v="20"/>
    <n v="11.998000000000001"/>
    <n v="47.992000000000004"/>
    <n v="7.99"/>
    <n v="55.982000000000006"/>
    <x v="0"/>
    <s v="Credit Card"/>
    <x v="1"/>
  </r>
  <r>
    <s v="ORD-1054"/>
    <x v="32"/>
    <x v="1"/>
    <x v="32"/>
    <s v="barbara.t@email.com"/>
    <x v="1"/>
    <s v="Houston"/>
    <x v="1"/>
    <x v="32"/>
    <n v="1"/>
    <n v="64.989999999999995"/>
    <n v="64.989999999999995"/>
    <n v="20"/>
    <n v="12.997999999999999"/>
    <n v="51.991999999999997"/>
    <n v="7.99"/>
    <n v="59.981999999999999"/>
    <x v="0"/>
    <s v="Debit Card"/>
    <x v="0"/>
  </r>
  <r>
    <s v="ORD-1082"/>
    <x v="33"/>
    <x v="4"/>
    <x v="33"/>
    <s v="cheryl.b@email.com"/>
    <x v="1"/>
    <s v="Miami"/>
    <x v="0"/>
    <x v="33"/>
    <n v="2"/>
    <n v="34.99"/>
    <n v="69.98"/>
    <n v="15"/>
    <n v="10.497"/>
    <n v="59.483000000000004"/>
    <n v="4.5"/>
    <n v="63.983000000000004"/>
    <x v="0"/>
    <s v="Debit Card"/>
    <x v="1"/>
  </r>
  <r>
    <s v="ORD-1090"/>
    <x v="34"/>
    <x v="7"/>
    <x v="34"/>
    <s v="ann.h@email.com"/>
    <x v="1"/>
    <s v="Atlanta"/>
    <x v="1"/>
    <x v="34"/>
    <n v="2"/>
    <n v="34.99"/>
    <n v="69.98"/>
    <n v="10"/>
    <n v="6.9980000000000011"/>
    <n v="62.981999999999999"/>
    <n v="5.99"/>
    <n v="68.971999999999994"/>
    <x v="0"/>
    <s v="Credit Card"/>
    <x v="0"/>
  </r>
  <r>
    <s v="ORD-1094"/>
    <x v="35"/>
    <x v="7"/>
    <x v="35"/>
    <s v="diana.w@email.com"/>
    <x v="1"/>
    <s v="Dallas"/>
    <x v="1"/>
    <x v="35"/>
    <n v="2"/>
    <n v="44.99"/>
    <n v="89.98"/>
    <n v="25"/>
    <n v="22.495000000000001"/>
    <n v="67.484999999999999"/>
    <n v="6.5"/>
    <n v="73.984999999999999"/>
    <x v="0"/>
    <s v="PayPal"/>
    <x v="0"/>
  </r>
  <r>
    <s v="ORD-1026"/>
    <x v="36"/>
    <x v="5"/>
    <x v="36"/>
    <s v="carol.b@email.com"/>
    <x v="1"/>
    <s v="Atlanta"/>
    <x v="3"/>
    <x v="36"/>
    <n v="4"/>
    <n v="19.989999999999998"/>
    <n v="79.959999999999994"/>
    <n v="10"/>
    <n v="7.9959999999999996"/>
    <n v="71.963999999999999"/>
    <n v="3.99"/>
    <n v="75.953999999999994"/>
    <x v="0"/>
    <s v="Debit Card"/>
    <x v="0"/>
  </r>
  <r>
    <s v="ORD-1030"/>
    <x v="37"/>
    <x v="5"/>
    <x v="37"/>
    <s v="sharon.p@email.com"/>
    <x v="1"/>
    <s v="Dallas"/>
    <x v="2"/>
    <x v="37"/>
    <n v="5"/>
    <n v="14.99"/>
    <n v="74.95"/>
    <n v="5"/>
    <n v="3.7475000000000005"/>
    <n v="71.202500000000001"/>
    <n v="4.99"/>
    <n v="76.192499999999995"/>
    <x v="0"/>
    <s v="Debit Card"/>
    <x v="1"/>
  </r>
  <r>
    <s v="ORD-1022"/>
    <x v="38"/>
    <x v="2"/>
    <x v="38"/>
    <s v="sandra.h@email.com"/>
    <x v="1"/>
    <s v="Houston"/>
    <x v="1"/>
    <x v="38"/>
    <n v="1"/>
    <n v="89.99"/>
    <n v="89.99"/>
    <n v="25"/>
    <n v="22.497499999999999"/>
    <n v="67.492499999999993"/>
    <n v="9.99"/>
    <n v="77.482499999999987"/>
    <x v="0"/>
    <s v="Debit Card"/>
    <x v="0"/>
  </r>
  <r>
    <s v="ORD-1018"/>
    <x v="39"/>
    <x v="2"/>
    <x v="39"/>
    <s v="karen.y@email.com"/>
    <x v="1"/>
    <s v="Miami"/>
    <x v="1"/>
    <x v="39"/>
    <n v="2"/>
    <n v="44.99"/>
    <n v="89.98"/>
    <n v="20"/>
    <n v="17.996000000000002"/>
    <n v="71.984000000000009"/>
    <n v="6.5"/>
    <n v="78.484000000000009"/>
    <x v="0"/>
    <s v="Debit Card"/>
    <x v="0"/>
  </r>
  <r>
    <s v="ORD-1006"/>
    <x v="40"/>
    <x v="6"/>
    <x v="40"/>
    <s v="lisa.a@email.com"/>
    <x v="1"/>
    <s v="Houston"/>
    <x v="2"/>
    <x v="40"/>
    <n v="2"/>
    <n v="34.99"/>
    <n v="69.98"/>
    <n v="0"/>
    <n v="0"/>
    <n v="69.98"/>
    <n v="9.99"/>
    <n v="79.97"/>
    <x v="0"/>
    <s v="PayPal"/>
    <x v="0"/>
  </r>
  <r>
    <s v="ORD-1010"/>
    <x v="41"/>
    <x v="6"/>
    <x v="41"/>
    <s v="jennifer.l@email.com"/>
    <x v="1"/>
    <s v="Atlanta"/>
    <x v="0"/>
    <x v="41"/>
    <n v="2"/>
    <n v="39.99"/>
    <n v="79.98"/>
    <n v="5"/>
    <n v="3.9990000000000006"/>
    <n v="75.981000000000009"/>
    <n v="4.5"/>
    <n v="80.481000000000009"/>
    <x v="0"/>
    <s v="PayPal"/>
    <x v="0"/>
  </r>
  <r>
    <s v="ORD-1058"/>
    <x v="42"/>
    <x v="1"/>
    <x v="42"/>
    <s v="lisa.james@email.com"/>
    <x v="1"/>
    <s v="Atlanta"/>
    <x v="1"/>
    <x v="42"/>
    <n v="2"/>
    <n v="49.99"/>
    <n v="99.98"/>
    <n v="25"/>
    <n v="24.995000000000001"/>
    <n v="74.984999999999999"/>
    <n v="7.5"/>
    <n v="82.484999999999999"/>
    <x v="0"/>
    <s v="Debit Card"/>
    <x v="0"/>
  </r>
  <r>
    <s v="ORD-1038"/>
    <x v="43"/>
    <x v="0"/>
    <x v="43"/>
    <s v="amanda.c@email.com"/>
    <x v="1"/>
    <s v="Houston"/>
    <x v="3"/>
    <x v="43"/>
    <n v="3"/>
    <n v="29.99"/>
    <n v="89.97"/>
    <n v="0"/>
    <n v="0"/>
    <n v="89.97"/>
    <n v="5.99"/>
    <n v="95.96"/>
    <x v="0"/>
    <s v="PayPal"/>
    <x v="0"/>
  </r>
  <r>
    <s v="ORD-1086"/>
    <x v="44"/>
    <x v="7"/>
    <x v="44"/>
    <s v="kathryn.d@email.com"/>
    <x v="1"/>
    <s v="Houston"/>
    <x v="3"/>
    <x v="44"/>
    <n v="2"/>
    <n v="49.99"/>
    <n v="99.98"/>
    <n v="5"/>
    <n v="4.9990000000000006"/>
    <n v="94.981000000000009"/>
    <n v="7.5"/>
    <n v="102.48100000000001"/>
    <x v="1"/>
    <s v="Debit Card"/>
    <x v="0"/>
  </r>
  <r>
    <s v="ORD-1034"/>
    <x v="45"/>
    <x v="5"/>
    <x v="45"/>
    <s v="michelle.c@email.com"/>
    <x v="1"/>
    <s v="Miami"/>
    <x v="2"/>
    <x v="45"/>
    <n v="2"/>
    <n v="59.99"/>
    <n v="119.98"/>
    <n v="15"/>
    <n v="17.997"/>
    <n v="101.983"/>
    <n v="7.99"/>
    <n v="109.973"/>
    <x v="1"/>
    <s v="Credit Card"/>
    <x v="0"/>
  </r>
  <r>
    <s v="ORD-1050"/>
    <x v="46"/>
    <x v="1"/>
    <x v="46"/>
    <s v="helen.r@email.com"/>
    <x v="1"/>
    <s v="Miami"/>
    <x v="3"/>
    <x v="46"/>
    <n v="3"/>
    <n v="39.99"/>
    <n v="119.97"/>
    <n v="5"/>
    <n v="5.9984999999999999"/>
    <n v="113.97149999999999"/>
    <n v="7.5"/>
    <n v="121.47149999999999"/>
    <x v="1"/>
    <s v="Credit Card"/>
    <x v="2"/>
  </r>
  <r>
    <s v="ORD-1014"/>
    <x v="47"/>
    <x v="2"/>
    <x v="47"/>
    <s v="jessica.l@email.com"/>
    <x v="1"/>
    <s v="Dallas"/>
    <x v="3"/>
    <x v="47"/>
    <n v="2"/>
    <n v="69.989999999999995"/>
    <n v="139.97999999999999"/>
    <n v="10"/>
    <n v="13.997999999999999"/>
    <n v="125.98199999999999"/>
    <n v="6.99"/>
    <n v="132.97199999999998"/>
    <x v="1"/>
    <s v="Debit Card"/>
    <x v="0"/>
  </r>
  <r>
    <s v="ORD-1070"/>
    <x v="48"/>
    <x v="3"/>
    <x v="48"/>
    <s v="mildred.j@email.com"/>
    <x v="1"/>
    <s v="Houston"/>
    <x v="2"/>
    <x v="48"/>
    <n v="2"/>
    <n v="74.989999999999995"/>
    <n v="149.97999999999999"/>
    <n v="10"/>
    <n v="14.997999999999999"/>
    <n v="134.982"/>
    <n v="10.99"/>
    <n v="145.97200000000001"/>
    <x v="1"/>
    <s v="PayPal"/>
    <x v="0"/>
  </r>
  <r>
    <s v="ORD-1098"/>
    <x v="49"/>
    <x v="8"/>
    <x v="49"/>
    <s v="frances.h@email.com"/>
    <x v="1"/>
    <s v="Miami"/>
    <x v="3"/>
    <x v="49"/>
    <n v="1"/>
    <n v="249.99"/>
    <n v="249.99"/>
    <n v="15"/>
    <n v="37.4985"/>
    <n v="212.4915"/>
    <n v="14.99"/>
    <n v="227.48150000000001"/>
    <x v="2"/>
    <s v="PayPal"/>
    <x v="0"/>
  </r>
  <r>
    <s v="ORD-1087"/>
    <x v="50"/>
    <x v="7"/>
    <x v="50"/>
    <s v="philip.h@email.com"/>
    <x v="2"/>
    <s v="Boston"/>
    <x v="0"/>
    <x v="50"/>
    <n v="1"/>
    <n v="29.99"/>
    <n v="29.99"/>
    <n v="0"/>
    <n v="0"/>
    <n v="29.99"/>
    <n v="3.99"/>
    <n v="33.979999999999997"/>
    <x v="0"/>
    <s v="PayPal"/>
    <x v="0"/>
  </r>
  <r>
    <s v="ORD-1047"/>
    <x v="51"/>
    <x v="0"/>
    <x v="51"/>
    <s v="scott.b@email.com"/>
    <x v="2"/>
    <s v="New York"/>
    <x v="3"/>
    <x v="51"/>
    <n v="1"/>
    <n v="34.99"/>
    <n v="34.99"/>
    <n v="0"/>
    <n v="0"/>
    <n v="34.99"/>
    <n v="4.5"/>
    <n v="39.49"/>
    <x v="0"/>
    <s v="Debit Card"/>
    <x v="0"/>
  </r>
  <r>
    <s v="ORD-1051"/>
    <x v="52"/>
    <x v="1"/>
    <x v="52"/>
    <s v="frank.c@email.com"/>
    <x v="2"/>
    <s v="Boston"/>
    <x v="0"/>
    <x v="52"/>
    <n v="1"/>
    <n v="39.99"/>
    <n v="39.99"/>
    <n v="0"/>
    <n v="0"/>
    <n v="39.99"/>
    <n v="3.99"/>
    <n v="43.980000000000004"/>
    <x v="0"/>
    <s v="Debit Card"/>
    <x v="0"/>
  </r>
  <r>
    <s v="ORD-1091"/>
    <x v="53"/>
    <x v="7"/>
    <x v="53"/>
    <s v="carl.g@email.com"/>
    <x v="2"/>
    <s v="Philadelphia"/>
    <x v="0"/>
    <x v="53"/>
    <n v="1"/>
    <n v="39.99"/>
    <n v="39.99"/>
    <n v="0"/>
    <n v="0"/>
    <n v="39.99"/>
    <n v="4.5"/>
    <n v="44.49"/>
    <x v="0"/>
    <s v="PayPal"/>
    <x v="0"/>
  </r>
  <r>
    <s v="ORD-1019"/>
    <x v="54"/>
    <x v="2"/>
    <x v="54"/>
    <s v="steven.k@email.com"/>
    <x v="2"/>
    <s v="Philadelphia"/>
    <x v="0"/>
    <x v="54"/>
    <n v="1"/>
    <n v="42.99"/>
    <n v="42.99"/>
    <n v="0"/>
    <n v="0"/>
    <n v="42.99"/>
    <n v="3.99"/>
    <n v="46.980000000000004"/>
    <x v="0"/>
    <s v="Credit Card"/>
    <x v="0"/>
  </r>
  <r>
    <s v="ORD-1007"/>
    <x v="55"/>
    <x v="6"/>
    <x v="55"/>
    <s v="james.m@email.com"/>
    <x v="2"/>
    <s v="Philadelphia"/>
    <x v="0"/>
    <x v="55"/>
    <n v="1"/>
    <n v="54.99"/>
    <n v="54.99"/>
    <n v="10"/>
    <n v="5.4990000000000006"/>
    <n v="49.491"/>
    <n v="3.99"/>
    <n v="53.481000000000002"/>
    <x v="0"/>
    <s v="Credit Card"/>
    <x v="2"/>
  </r>
  <r>
    <s v="ORD-1011"/>
    <x v="56"/>
    <x v="6"/>
    <x v="56"/>
    <s v="william.w@email.com"/>
    <x v="2"/>
    <s v="New York"/>
    <x v="3"/>
    <x v="56"/>
    <n v="1"/>
    <n v="49.99"/>
    <n v="49.99"/>
    <n v="10"/>
    <n v="4.9990000000000006"/>
    <n v="44.991"/>
    <n v="8.5"/>
    <n v="53.491"/>
    <x v="0"/>
    <s v="Credit Card"/>
    <x v="0"/>
  </r>
  <r>
    <s v="ORD-1003"/>
    <x v="57"/>
    <x v="6"/>
    <x v="57"/>
    <s v="m.brown@email.com"/>
    <x v="2"/>
    <s v="Boston"/>
    <x v="3"/>
    <x v="57"/>
    <n v="5"/>
    <n v="12.99"/>
    <n v="64.95"/>
    <n v="15"/>
    <n v="9.7424999999999997"/>
    <n v="55.207500000000003"/>
    <n v="4.99"/>
    <n v="60.197500000000005"/>
    <x v="0"/>
    <s v="Credit Card"/>
    <x v="0"/>
  </r>
  <r>
    <s v="ORD-1015"/>
    <x v="58"/>
    <x v="2"/>
    <x v="58"/>
    <s v="daniel.w@email.com"/>
    <x v="2"/>
    <s v="Boston"/>
    <x v="0"/>
    <x v="58"/>
    <n v="1"/>
    <n v="64.989999999999995"/>
    <n v="64.989999999999995"/>
    <n v="15"/>
    <n v="9.7484999999999982"/>
    <n v="55.241499999999995"/>
    <n v="4.99"/>
    <n v="60.231499999999997"/>
    <x v="0"/>
    <s v="Credit Card"/>
    <x v="0"/>
  </r>
  <r>
    <s v="ORD-1079"/>
    <x v="59"/>
    <x v="4"/>
    <x v="59"/>
    <s v="eugene.s@email.com"/>
    <x v="2"/>
    <s v="Philadelphia"/>
    <x v="2"/>
    <x v="59"/>
    <n v="2"/>
    <n v="29.99"/>
    <n v="59.98"/>
    <n v="5"/>
    <n v="2.9990000000000001"/>
    <n v="56.980999999999995"/>
    <n v="5.99"/>
    <n v="62.970999999999997"/>
    <x v="0"/>
    <s v="Debit Card"/>
    <x v="2"/>
  </r>
  <r>
    <s v="ORD-1035"/>
    <x v="60"/>
    <x v="5"/>
    <x v="60"/>
    <s v="ryan.p@email.com"/>
    <x v="2"/>
    <s v="New York"/>
    <x v="3"/>
    <x v="60"/>
    <n v="1"/>
    <n v="69.989999999999995"/>
    <n v="69.989999999999995"/>
    <n v="10"/>
    <n v="6.9989999999999997"/>
    <n v="62.990999999999993"/>
    <n v="6.5"/>
    <n v="69.490999999999985"/>
    <x v="0"/>
    <s v="PayPal"/>
    <x v="2"/>
  </r>
  <r>
    <s v="ORD-1075"/>
    <x v="61"/>
    <x v="4"/>
    <x v="61"/>
    <s v="roy.h@email.com"/>
    <x v="2"/>
    <s v="Boston"/>
    <x v="2"/>
    <x v="61"/>
    <n v="2"/>
    <n v="34.99"/>
    <n v="69.98"/>
    <n v="10"/>
    <n v="6.9980000000000011"/>
    <n v="62.981999999999999"/>
    <n v="6.99"/>
    <n v="69.971999999999994"/>
    <x v="0"/>
    <s v="Debit Card"/>
    <x v="0"/>
  </r>
  <r>
    <s v="ORD-1027"/>
    <x v="62"/>
    <x v="5"/>
    <x v="62"/>
    <s v="mark.n@email.com"/>
    <x v="2"/>
    <s v="Boston"/>
    <x v="1"/>
    <x v="62"/>
    <n v="2"/>
    <n v="39.99"/>
    <n v="79.98"/>
    <n v="20"/>
    <n v="15.996000000000002"/>
    <n v="63.984000000000002"/>
    <n v="6.99"/>
    <n v="70.974000000000004"/>
    <x v="0"/>
    <s v="Credit Card"/>
    <x v="0"/>
  </r>
  <r>
    <s v="ORD-1031"/>
    <x v="63"/>
    <x v="5"/>
    <x v="63"/>
    <s v="brian.r@email.com"/>
    <x v="2"/>
    <s v="Philadelphia"/>
    <x v="1"/>
    <x v="63"/>
    <n v="3"/>
    <n v="24.99"/>
    <n v="74.97"/>
    <n v="10"/>
    <n v="7.4969999999999999"/>
    <n v="67.472999999999999"/>
    <n v="5.5"/>
    <n v="72.972999999999999"/>
    <x v="0"/>
    <s v="PayPal"/>
    <x v="0"/>
  </r>
  <r>
    <s v="ORD-1067"/>
    <x v="64"/>
    <x v="3"/>
    <x v="64"/>
    <s v="larry.r@email.com"/>
    <x v="2"/>
    <s v="Philadelphia"/>
    <x v="1"/>
    <x v="64"/>
    <n v="3"/>
    <n v="29.99"/>
    <n v="89.97"/>
    <n v="25"/>
    <n v="22.4925"/>
    <n v="67.477499999999992"/>
    <n v="5.99"/>
    <n v="73.467499999999987"/>
    <x v="0"/>
    <s v="Credit Card"/>
    <x v="1"/>
  </r>
  <r>
    <s v="ORD-1055"/>
    <x v="65"/>
    <x v="1"/>
    <x v="65"/>
    <s v="raymond.p@email.com"/>
    <x v="2"/>
    <s v="Philadelphia"/>
    <x v="0"/>
    <x v="65"/>
    <n v="2"/>
    <n v="34.99"/>
    <n v="69.98"/>
    <n v="0"/>
    <n v="0"/>
    <n v="69.98"/>
    <n v="4.5"/>
    <n v="74.48"/>
    <x v="0"/>
    <s v="Credit Card"/>
    <x v="0"/>
  </r>
  <r>
    <s v="ORD-1039"/>
    <x v="66"/>
    <x v="0"/>
    <x v="66"/>
    <s v="brandon.s@email.com"/>
    <x v="2"/>
    <s v="Boston"/>
    <x v="2"/>
    <x v="66"/>
    <n v="4"/>
    <n v="19.989999999999998"/>
    <n v="79.959999999999994"/>
    <n v="10"/>
    <n v="7.9959999999999996"/>
    <n v="71.963999999999999"/>
    <n v="4.5"/>
    <n v="76.463999999999999"/>
    <x v="0"/>
    <s v="Credit Card"/>
    <x v="1"/>
  </r>
  <r>
    <s v="ORD-1063"/>
    <x v="67"/>
    <x v="3"/>
    <x v="67"/>
    <s v="harold.p@email.com"/>
    <x v="2"/>
    <s v="Boston"/>
    <x v="1"/>
    <x v="67"/>
    <n v="2"/>
    <n v="34.99"/>
    <n v="69.98"/>
    <n v="0"/>
    <n v="0"/>
    <n v="69.98"/>
    <n v="6.5"/>
    <n v="76.48"/>
    <x v="0"/>
    <s v="PayPal"/>
    <x v="0"/>
  </r>
  <r>
    <s v="ORD-1043"/>
    <x v="68"/>
    <x v="0"/>
    <x v="68"/>
    <s v="gary.c@email.com"/>
    <x v="2"/>
    <s v="Philadelphia"/>
    <x v="2"/>
    <x v="68"/>
    <n v="3"/>
    <n v="24.99"/>
    <n v="74.97"/>
    <n v="5"/>
    <n v="3.7484999999999999"/>
    <n v="71.221499999999992"/>
    <n v="6.5"/>
    <n v="77.721499999999992"/>
    <x v="0"/>
    <s v="Credit Card"/>
    <x v="0"/>
  </r>
  <r>
    <s v="ORD-1059"/>
    <x v="69"/>
    <x v="1"/>
    <x v="69"/>
    <s v="jerry.w@email.com"/>
    <x v="2"/>
    <s v="New York"/>
    <x v="3"/>
    <x v="69"/>
    <n v="4"/>
    <n v="24.99"/>
    <n v="99.96"/>
    <n v="10"/>
    <n v="9.9960000000000004"/>
    <n v="89.963999999999999"/>
    <n v="3.99"/>
    <n v="93.953999999999994"/>
    <x v="0"/>
    <s v="PayPal"/>
    <x v="1"/>
  </r>
  <r>
    <s v="ORD-1071"/>
    <x v="70"/>
    <x v="3"/>
    <x v="70"/>
    <s v="albert.p@email.com"/>
    <x v="2"/>
    <s v="New York"/>
    <x v="3"/>
    <x v="70"/>
    <n v="4"/>
    <n v="29.99"/>
    <n v="119.96"/>
    <n v="15"/>
    <n v="17.994"/>
    <n v="101.96599999999999"/>
    <n v="5.99"/>
    <n v="107.95599999999999"/>
    <x v="1"/>
    <s v="Credit Card"/>
    <x v="0"/>
  </r>
  <r>
    <s v="ORD-1083"/>
    <x v="71"/>
    <x v="4"/>
    <x v="71"/>
    <s v="ralph.a@email.com"/>
    <x v="2"/>
    <s v="New York"/>
    <x v="3"/>
    <x v="71"/>
    <n v="1"/>
    <n v="99.99"/>
    <n v="99.99"/>
    <n v="0"/>
    <n v="0"/>
    <n v="99.99"/>
    <n v="9.99"/>
    <n v="109.97999999999999"/>
    <x v="1"/>
    <s v="Credit Card"/>
    <x v="0"/>
  </r>
  <r>
    <s v="ORD-1099"/>
    <x v="72"/>
    <x v="8"/>
    <x v="72"/>
    <s v="willie.b@email.com"/>
    <x v="2"/>
    <s v="Boston"/>
    <x v="1"/>
    <x v="72"/>
    <n v="1"/>
    <n v="119.99"/>
    <n v="119.99"/>
    <n v="0"/>
    <n v="0"/>
    <n v="119.99"/>
    <n v="12.99"/>
    <n v="132.97999999999999"/>
    <x v="1"/>
    <s v="Debit Card"/>
    <x v="0"/>
  </r>
  <r>
    <s v="ORD-1023"/>
    <x v="73"/>
    <x v="2"/>
    <x v="73"/>
    <s v="kevin.s@email.com"/>
    <x v="2"/>
    <s v="New York"/>
    <x v="3"/>
    <x v="73"/>
    <n v="1"/>
    <n v="199.99"/>
    <n v="199.99"/>
    <n v="15"/>
    <n v="29.9985"/>
    <n v="169.9915"/>
    <n v="10.99"/>
    <n v="180.98150000000001"/>
    <x v="1"/>
    <s v="Credit Card"/>
    <x v="1"/>
  </r>
  <r>
    <s v="ORD-1095"/>
    <x v="74"/>
    <x v="7"/>
    <x v="74"/>
    <s v="peter.w@email.com"/>
    <x v="2"/>
    <s v="New York"/>
    <x v="3"/>
    <x v="74"/>
    <n v="1"/>
    <n v="499.99"/>
    <n v="499.99"/>
    <n v="10"/>
    <n v="49.999000000000002"/>
    <n v="449.99099999999999"/>
    <n v="24.99"/>
    <n v="474.98099999999999"/>
    <x v="2"/>
    <s v="Credit Card"/>
    <x v="1"/>
  </r>
  <r>
    <s v="ORD-1028"/>
    <x v="75"/>
    <x v="5"/>
    <x v="75"/>
    <s v="ruth.c@email.com"/>
    <x v="3"/>
    <s v="Seattle"/>
    <x v="0"/>
    <x v="75"/>
    <n v="1"/>
    <n v="24.99"/>
    <n v="24.99"/>
    <n v="0"/>
    <n v="0"/>
    <n v="24.99"/>
    <n v="3.5"/>
    <n v="28.49"/>
    <x v="0"/>
    <s v="PayPal"/>
    <x v="0"/>
  </r>
  <r>
    <s v="ORD-1044"/>
    <x v="76"/>
    <x v="0"/>
    <x v="76"/>
    <s v="virginia.m@email.com"/>
    <x v="3"/>
    <s v="San Diego"/>
    <x v="3"/>
    <x v="76"/>
    <n v="1"/>
    <n v="39.99"/>
    <n v="39.99"/>
    <n v="10"/>
    <n v="3.9990000000000006"/>
    <n v="35.991"/>
    <n v="5.99"/>
    <n v="41.981000000000002"/>
    <x v="0"/>
    <s v="Debit Card"/>
    <x v="0"/>
  </r>
  <r>
    <s v="ORD-1072"/>
    <x v="77"/>
    <x v="4"/>
    <x v="77"/>
    <s v="julia.p@email.com"/>
    <x v="3"/>
    <s v="San Francisco"/>
    <x v="1"/>
    <x v="77"/>
    <n v="1"/>
    <n v="39.99"/>
    <n v="39.99"/>
    <n v="5"/>
    <n v="1.9995000000000003"/>
    <n v="37.990500000000004"/>
    <n v="6.5"/>
    <n v="44.490500000000004"/>
    <x v="0"/>
    <s v="Debit Card"/>
    <x v="0"/>
  </r>
  <r>
    <s v="ORD-1076"/>
    <x v="78"/>
    <x v="4"/>
    <x v="78"/>
    <s v="janice.f@email.com"/>
    <x v="3"/>
    <s v="Portland"/>
    <x v="1"/>
    <x v="78"/>
    <n v="3"/>
    <n v="19.989999999999998"/>
    <n v="59.97"/>
    <n v="25"/>
    <n v="14.9925"/>
    <n v="44.977499999999999"/>
    <n v="5.5"/>
    <n v="50.477499999999999"/>
    <x v="0"/>
    <s v="Credit Card"/>
    <x v="0"/>
  </r>
  <r>
    <s v="ORD-1020"/>
    <x v="79"/>
    <x v="2"/>
    <x v="79"/>
    <s v="betty.w@email.com"/>
    <x v="3"/>
    <s v="San Diego"/>
    <x v="3"/>
    <x v="79"/>
    <n v="6"/>
    <n v="9.99"/>
    <n v="59.94"/>
    <n v="15"/>
    <n v="8.9909999999999997"/>
    <n v="50.948999999999998"/>
    <n v="2.99"/>
    <n v="53.939"/>
    <x v="0"/>
    <s v="PayPal"/>
    <x v="2"/>
  </r>
  <r>
    <s v="ORD-1004"/>
    <x v="80"/>
    <x v="6"/>
    <x v="80"/>
    <s v="emily.d@email.com"/>
    <x v="3"/>
    <s v="Los Angeles"/>
    <x v="1"/>
    <x v="80"/>
    <n v="3"/>
    <n v="19.989999999999998"/>
    <n v="59.97"/>
    <n v="20"/>
    <n v="11.994"/>
    <n v="47.975999999999999"/>
    <n v="6.5"/>
    <n v="54.475999999999999"/>
    <x v="0"/>
    <s v="Debit Card"/>
    <x v="0"/>
  </r>
  <r>
    <s v="ORD-1064"/>
    <x v="81"/>
    <x v="3"/>
    <x v="81"/>
    <s v="gloria.b@email.com"/>
    <x v="3"/>
    <s v="San Diego"/>
    <x v="0"/>
    <x v="81"/>
    <n v="1"/>
    <n v="54.99"/>
    <n v="54.99"/>
    <n v="10"/>
    <n v="5.4990000000000006"/>
    <n v="49.491"/>
    <n v="4.99"/>
    <n v="54.481000000000002"/>
    <x v="0"/>
    <s v="Credit Card"/>
    <x v="0"/>
  </r>
  <r>
    <s v="ORD-1096"/>
    <x v="82"/>
    <x v="8"/>
    <x v="82"/>
    <s v="alice.c@email.com"/>
    <x v="3"/>
    <s v="Portland"/>
    <x v="0"/>
    <x v="82"/>
    <n v="3"/>
    <n v="19.989999999999998"/>
    <n v="59.97"/>
    <n v="0"/>
    <n v="0"/>
    <n v="59.97"/>
    <n v="4.99"/>
    <n v="64.959999999999994"/>
    <x v="0"/>
    <s v="Debit Card"/>
    <x v="0"/>
  </r>
  <r>
    <s v="ORD-1060"/>
    <x v="83"/>
    <x v="3"/>
    <x v="83"/>
    <s v="janet.b@email.com"/>
    <x v="3"/>
    <s v="Los Angeles"/>
    <x v="0"/>
    <x v="83"/>
    <n v="1"/>
    <n v="59.99"/>
    <n v="59.99"/>
    <n v="0"/>
    <n v="0"/>
    <n v="59.99"/>
    <n v="5.99"/>
    <n v="65.98"/>
    <x v="0"/>
    <s v="Credit Card"/>
    <x v="0"/>
  </r>
  <r>
    <s v="ORD-1040"/>
    <x v="84"/>
    <x v="0"/>
    <x v="84"/>
    <s v="stephanie.m@email.com"/>
    <x v="3"/>
    <s v="Los Angeles"/>
    <x v="1"/>
    <x v="84"/>
    <n v="2"/>
    <n v="39.99"/>
    <n v="79.98"/>
    <n v="20"/>
    <n v="15.996000000000002"/>
    <n v="63.984000000000002"/>
    <n v="6.99"/>
    <n v="70.974000000000004"/>
    <x v="0"/>
    <s v="Debit Card"/>
    <x v="0"/>
  </r>
  <r>
    <s v="ORD-1012"/>
    <x v="85"/>
    <x v="2"/>
    <x v="85"/>
    <s v="mary.h@email.com"/>
    <x v="3"/>
    <s v="Seattle"/>
    <x v="2"/>
    <x v="85"/>
    <n v="3"/>
    <n v="24.99"/>
    <n v="74.97"/>
    <n v="0"/>
    <n v="0"/>
    <n v="74.97"/>
    <n v="5.99"/>
    <n v="80.959999999999994"/>
    <x v="0"/>
    <s v="PayPal"/>
    <x v="0"/>
  </r>
  <r>
    <s v="ORD-1068"/>
    <x v="86"/>
    <x v="3"/>
    <x v="86"/>
    <s v="rose.h@email.com"/>
    <x v="3"/>
    <s v="Seattle"/>
    <x v="3"/>
    <x v="86"/>
    <n v="1"/>
    <n v="89.99"/>
    <n v="89.99"/>
    <n v="20"/>
    <n v="17.998000000000001"/>
    <n v="71.99199999999999"/>
    <n v="9.99"/>
    <n v="81.981999999999985"/>
    <x v="0"/>
    <s v="Debit Card"/>
    <x v="0"/>
  </r>
  <r>
    <s v="ORD-1036"/>
    <x v="87"/>
    <x v="0"/>
    <x v="87"/>
    <s v="laura.e@email.com"/>
    <x v="3"/>
    <s v="Portland"/>
    <x v="1"/>
    <x v="87"/>
    <n v="2"/>
    <n v="49.99"/>
    <n v="99.98"/>
    <n v="25"/>
    <n v="24.995000000000001"/>
    <n v="74.984999999999999"/>
    <n v="7.5"/>
    <n v="82.484999999999999"/>
    <x v="0"/>
    <s v="Credit Card"/>
    <x v="0"/>
  </r>
  <r>
    <s v="ORD-1088"/>
    <x v="88"/>
    <x v="7"/>
    <x v="88"/>
    <s v="shirley.m@email.com"/>
    <x v="3"/>
    <s v="San Diego"/>
    <x v="2"/>
    <x v="88"/>
    <n v="2"/>
    <n v="44.99"/>
    <n v="89.98"/>
    <n v="15"/>
    <n v="13.497"/>
    <n v="76.483000000000004"/>
    <n v="6.5"/>
    <n v="82.983000000000004"/>
    <x v="0"/>
    <s v="Credit Card"/>
    <x v="1"/>
  </r>
  <r>
    <s v="ORD-1100"/>
    <x v="89"/>
    <x v="8"/>
    <x v="89"/>
    <s v="norma.j@email.com"/>
    <x v="3"/>
    <s v="Los Angeles"/>
    <x v="0"/>
    <x v="89"/>
    <n v="2"/>
    <n v="44.99"/>
    <n v="89.98"/>
    <n v="10"/>
    <n v="8.9980000000000011"/>
    <n v="80.981999999999999"/>
    <n v="5.5"/>
    <n v="86.481999999999999"/>
    <x v="0"/>
    <s v="Credit Card"/>
    <x v="0"/>
  </r>
  <r>
    <s v="ORD-1048"/>
    <x v="90"/>
    <x v="1"/>
    <x v="90"/>
    <s v="catherine.r@email.com"/>
    <x v="3"/>
    <s v="Seattle"/>
    <x v="2"/>
    <x v="90"/>
    <n v="2"/>
    <n v="44.99"/>
    <n v="89.98"/>
    <n v="10"/>
    <n v="8.9980000000000011"/>
    <n v="80.981999999999999"/>
    <n v="6.99"/>
    <n v="87.971999999999994"/>
    <x v="0"/>
    <s v="Credit Card"/>
    <x v="0"/>
  </r>
  <r>
    <s v="ORD-1024"/>
    <x v="91"/>
    <x v="5"/>
    <x v="91"/>
    <s v="donna.g@email.com"/>
    <x v="3"/>
    <s v="Los Angeles"/>
    <x v="0"/>
    <x v="91"/>
    <n v="3"/>
    <n v="29.99"/>
    <n v="89.97"/>
    <n v="5"/>
    <n v="4.4984999999999999"/>
    <n v="85.471499999999992"/>
    <n v="4.5"/>
    <n v="89.971499999999992"/>
    <x v="0"/>
    <s v="PayPal"/>
    <x v="0"/>
  </r>
  <r>
    <s v="ORD-1008"/>
    <x v="92"/>
    <x v="6"/>
    <x v="92"/>
    <s v="patricia.t@email.com"/>
    <x v="3"/>
    <s v="San Francisco"/>
    <x v="1"/>
    <x v="92"/>
    <n v="2"/>
    <n v="59.99"/>
    <n v="119.98"/>
    <n v="15"/>
    <n v="17.997"/>
    <n v="101.983"/>
    <n v="7.99"/>
    <n v="109.973"/>
    <x v="1"/>
    <s v="Credit Card"/>
    <x v="0"/>
  </r>
  <r>
    <s v="ORD-1084"/>
    <x v="93"/>
    <x v="7"/>
    <x v="93"/>
    <s v="joan.r@email.com"/>
    <x v="3"/>
    <s v="Seattle"/>
    <x v="2"/>
    <x v="93"/>
    <n v="3"/>
    <n v="39.99"/>
    <n v="119.97"/>
    <n v="10"/>
    <n v="11.997"/>
    <n v="107.973"/>
    <n v="6.99"/>
    <n v="114.96299999999999"/>
    <x v="1"/>
    <s v="PayPal"/>
    <x v="0"/>
  </r>
  <r>
    <s v="ORD-1080"/>
    <x v="94"/>
    <x v="4"/>
    <x v="94"/>
    <s v="joyce.f@email.com"/>
    <x v="3"/>
    <s v="Los Angeles"/>
    <x v="3"/>
    <x v="94"/>
    <n v="1"/>
    <n v="129.99"/>
    <n v="129.99"/>
    <n v="20"/>
    <n v="25.998000000000005"/>
    <n v="103.992"/>
    <n v="10.99"/>
    <n v="114.982"/>
    <x v="1"/>
    <s v="PayPal"/>
    <x v="0"/>
  </r>
  <r>
    <s v="ORD-1032"/>
    <x v="95"/>
    <x v="5"/>
    <x v="95"/>
    <s v="dorothy.t@email.com"/>
    <x v="3"/>
    <s v="San Francisco"/>
    <x v="3"/>
    <x v="95"/>
    <n v="2"/>
    <n v="79.989999999999995"/>
    <n v="159.97999999999999"/>
    <n v="20"/>
    <n v="31.995999999999999"/>
    <n v="127.98399999999999"/>
    <n v="8.5"/>
    <n v="136.48399999999998"/>
    <x v="1"/>
    <s v="Credit Card"/>
    <x v="0"/>
  </r>
  <r>
    <s v="ORD-1016"/>
    <x v="96"/>
    <x v="2"/>
    <x v="96"/>
    <s v="nancy.h@email.com"/>
    <x v="3"/>
    <s v="Portland"/>
    <x v="2"/>
    <x v="96"/>
    <n v="4"/>
    <n v="34.99"/>
    <n v="139.96"/>
    <n v="5"/>
    <n v="6.9980000000000011"/>
    <n v="132.96200000000002"/>
    <n v="7.5"/>
    <n v="140.46200000000002"/>
    <x v="1"/>
    <s v="PayPal"/>
    <x v="1"/>
  </r>
  <r>
    <s v="ORD-1056"/>
    <x v="97"/>
    <x v="1"/>
    <x v="97"/>
    <s v="kathleen.g@email.com"/>
    <x v="3"/>
    <s v="Portland"/>
    <x v="3"/>
    <x v="97"/>
    <n v="1"/>
    <n v="149.99"/>
    <n v="149.99"/>
    <n v="15"/>
    <n v="22.4985"/>
    <n v="127.4915"/>
    <n v="12.99"/>
    <n v="140.48150000000001"/>
    <x v="1"/>
    <s v="PayPal"/>
    <x v="0"/>
  </r>
  <r>
    <s v="ORD-1052"/>
    <x v="98"/>
    <x v="1"/>
    <x v="98"/>
    <s v="angela.h@email.com"/>
    <x v="3"/>
    <s v="San Francisco"/>
    <x v="2"/>
    <x v="98"/>
    <n v="2"/>
    <n v="79.989999999999995"/>
    <n v="159.97999999999999"/>
    <n v="15"/>
    <n v="23.996999999999996"/>
    <n v="135.983"/>
    <n v="9.99"/>
    <n v="145.97300000000001"/>
    <x v="1"/>
    <s v="PayPal"/>
    <x v="0"/>
  </r>
  <r>
    <s v="ORD-1092"/>
    <x v="99"/>
    <x v="7"/>
    <x v="99"/>
    <s v="martha.s@email.com"/>
    <x v="3"/>
    <s v="San Francisco"/>
    <x v="3"/>
    <x v="99"/>
    <n v="1"/>
    <n v="179.99"/>
    <n v="179.99"/>
    <n v="15"/>
    <n v="26.9985"/>
    <n v="152.9915"/>
    <n v="12.99"/>
    <n v="165.98150000000001"/>
    <x v="1"/>
    <s v="Credit Car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3A1705-02B6-4A7F-82BB-25A3214AFFF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I10" firstHeaderRow="1" firstDataRow="3" firstDataCol="1"/>
  <pivotFields count="21">
    <pivotField dataField="1" showAll="0"/>
    <pivotField numFmtId="14" showAll="0">
      <items count="101">
        <item x="7"/>
        <item x="28"/>
        <item x="57"/>
        <item x="80"/>
        <item x="17"/>
        <item x="40"/>
        <item x="55"/>
        <item x="92"/>
        <item x="14"/>
        <item x="41"/>
        <item x="56"/>
        <item x="85"/>
        <item x="21"/>
        <item x="47"/>
        <item x="58"/>
        <item x="96"/>
        <item x="23"/>
        <item x="39"/>
        <item x="54"/>
        <item x="79"/>
        <item x="2"/>
        <item x="38"/>
        <item x="73"/>
        <item x="91"/>
        <item x="22"/>
        <item x="36"/>
        <item x="62"/>
        <item x="75"/>
        <item x="20"/>
        <item x="37"/>
        <item x="63"/>
        <item x="95"/>
        <item x="5"/>
        <item x="45"/>
        <item x="60"/>
        <item x="87"/>
        <item x="0"/>
        <item x="43"/>
        <item x="66"/>
        <item x="84"/>
        <item x="12"/>
        <item x="26"/>
        <item x="68"/>
        <item x="76"/>
        <item x="19"/>
        <item x="30"/>
        <item x="51"/>
        <item x="90"/>
        <item x="1"/>
        <item x="46"/>
        <item x="52"/>
        <item x="98"/>
        <item x="9"/>
        <item x="32"/>
        <item x="65"/>
        <item x="97"/>
        <item x="16"/>
        <item x="42"/>
        <item x="69"/>
        <item x="83"/>
        <item x="8"/>
        <item x="27"/>
        <item x="67"/>
        <item x="81"/>
        <item x="11"/>
        <item x="25"/>
        <item x="64"/>
        <item x="86"/>
        <item x="3"/>
        <item x="48"/>
        <item x="70"/>
        <item x="77"/>
        <item x="4"/>
        <item x="31"/>
        <item x="61"/>
        <item x="78"/>
        <item x="15"/>
        <item x="29"/>
        <item x="59"/>
        <item x="94"/>
        <item x="6"/>
        <item x="33"/>
        <item x="71"/>
        <item x="93"/>
        <item x="18"/>
        <item x="44"/>
        <item x="50"/>
        <item x="88"/>
        <item x="24"/>
        <item x="34"/>
        <item x="53"/>
        <item x="99"/>
        <item x="10"/>
        <item x="35"/>
        <item x="74"/>
        <item x="82"/>
        <item x="13"/>
        <item x="49"/>
        <item x="72"/>
        <item x="89"/>
        <item t="default"/>
      </items>
    </pivotField>
    <pivotField showAll="0"/>
    <pivotField showAll="0"/>
    <pivotField showAll="0"/>
    <pivotField axis="axisRow" showAll="0">
      <items count="5">
        <item x="0"/>
        <item x="1"/>
        <item x="2"/>
        <item x="3"/>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Col" showAll="0">
      <items count="4">
        <item x="2"/>
        <item x="0"/>
        <item x="1"/>
        <item t="default"/>
      </items>
    </pivotField>
    <pivotField dragToRow="0" dragToCol="0" dragToPage="0" showAll="0" defaultSubtotal="0"/>
  </pivotFields>
  <rowFields count="1">
    <field x="5"/>
  </rowFields>
  <rowItems count="5">
    <i>
      <x/>
    </i>
    <i>
      <x v="1"/>
    </i>
    <i>
      <x v="2"/>
    </i>
    <i>
      <x v="3"/>
    </i>
    <i t="grand">
      <x/>
    </i>
  </rowItems>
  <colFields count="2">
    <field x="19"/>
    <field x="-2"/>
  </colFields>
  <colItems count="8">
    <i>
      <x/>
      <x/>
    </i>
    <i r="1" i="1">
      <x v="1"/>
    </i>
    <i>
      <x v="1"/>
      <x/>
    </i>
    <i r="1" i="1">
      <x v="1"/>
    </i>
    <i>
      <x v="2"/>
      <x/>
    </i>
    <i r="1" i="1">
      <x v="1"/>
    </i>
    <i t="grand">
      <x/>
    </i>
    <i t="grand" i="1">
      <x/>
    </i>
  </colItems>
  <dataFields count="2">
    <dataField name="Sum of Total Order Value" fld="16" baseField="5" baseItem="1" numFmtId="164"/>
    <dataField name="Count of Order_ID" fld="0" subtotal="count" baseField="0" baseItem="0"/>
  </dataFields>
  <chartFormats count="24">
    <chartFormat chart="2" format="0" series="1">
      <pivotArea type="data" outline="0" fieldPosition="0">
        <references count="2">
          <reference field="4294967294" count="1" selected="0">
            <x v="0"/>
          </reference>
          <reference field="19" count="1" selected="0">
            <x v="0"/>
          </reference>
        </references>
      </pivotArea>
    </chartFormat>
    <chartFormat chart="2" format="1" series="1">
      <pivotArea type="data" outline="0" fieldPosition="0">
        <references count="2">
          <reference field="4294967294" count="1" selected="0">
            <x v="1"/>
          </reference>
          <reference field="19" count="1" selected="0">
            <x v="0"/>
          </reference>
        </references>
      </pivotArea>
    </chartFormat>
    <chartFormat chart="2" format="2" series="1">
      <pivotArea type="data" outline="0" fieldPosition="0">
        <references count="2">
          <reference field="4294967294" count="1" selected="0">
            <x v="0"/>
          </reference>
          <reference field="19" count="1" selected="0">
            <x v="1"/>
          </reference>
        </references>
      </pivotArea>
    </chartFormat>
    <chartFormat chart="2" format="3" series="1">
      <pivotArea type="data" outline="0" fieldPosition="0">
        <references count="2">
          <reference field="4294967294" count="1" selected="0">
            <x v="1"/>
          </reference>
          <reference field="19" count="1" selected="0">
            <x v="1"/>
          </reference>
        </references>
      </pivotArea>
    </chartFormat>
    <chartFormat chart="2" format="4" series="1">
      <pivotArea type="data" outline="0" fieldPosition="0">
        <references count="2">
          <reference field="4294967294" count="1" selected="0">
            <x v="0"/>
          </reference>
          <reference field="19" count="1" selected="0">
            <x v="2"/>
          </reference>
        </references>
      </pivotArea>
    </chartFormat>
    <chartFormat chart="2" format="5" series="1">
      <pivotArea type="data" outline="0" fieldPosition="0">
        <references count="2">
          <reference field="4294967294" count="1" selected="0">
            <x v="1"/>
          </reference>
          <reference field="19" count="1" selected="0">
            <x v="2"/>
          </reference>
        </references>
      </pivotArea>
    </chartFormat>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1"/>
          </reference>
          <reference field="19" count="1" selected="0">
            <x v="0"/>
          </reference>
        </references>
      </pivotArea>
    </chartFormat>
    <chartFormat chart="4" format="2" series="1">
      <pivotArea type="data" outline="0" fieldPosition="0">
        <references count="2">
          <reference field="4294967294" count="1" selected="0">
            <x v="0"/>
          </reference>
          <reference field="19" count="1" selected="0">
            <x v="1"/>
          </reference>
        </references>
      </pivotArea>
    </chartFormat>
    <chartFormat chart="4" format="3" series="1">
      <pivotArea type="data" outline="0" fieldPosition="0">
        <references count="2">
          <reference field="4294967294" count="1" selected="0">
            <x v="1"/>
          </reference>
          <reference field="19" count="1" selected="0">
            <x v="1"/>
          </reference>
        </references>
      </pivotArea>
    </chartFormat>
    <chartFormat chart="4" format="4" series="1">
      <pivotArea type="data" outline="0" fieldPosition="0">
        <references count="2">
          <reference field="4294967294" count="1" selected="0">
            <x v="0"/>
          </reference>
          <reference field="19" count="1" selected="0">
            <x v="2"/>
          </reference>
        </references>
      </pivotArea>
    </chartFormat>
    <chartFormat chart="4" format="5" series="1">
      <pivotArea type="data" outline="0" fieldPosition="0">
        <references count="2">
          <reference field="4294967294" count="1" selected="0">
            <x v="1"/>
          </reference>
          <reference field="19" count="1" selected="0">
            <x v="2"/>
          </reference>
        </references>
      </pivotArea>
    </chartFormat>
    <chartFormat chart="8" format="12" series="1">
      <pivotArea type="data" outline="0" fieldPosition="0">
        <references count="2">
          <reference field="4294967294" count="1" selected="0">
            <x v="0"/>
          </reference>
          <reference field="19" count="1" selected="0">
            <x v="0"/>
          </reference>
        </references>
      </pivotArea>
    </chartFormat>
    <chartFormat chart="8" format="13" series="1">
      <pivotArea type="data" outline="0" fieldPosition="0">
        <references count="2">
          <reference field="4294967294" count="1" selected="0">
            <x v="1"/>
          </reference>
          <reference field="19" count="1" selected="0">
            <x v="0"/>
          </reference>
        </references>
      </pivotArea>
    </chartFormat>
    <chartFormat chart="8" format="14" series="1">
      <pivotArea type="data" outline="0" fieldPosition="0">
        <references count="2">
          <reference field="4294967294" count="1" selected="0">
            <x v="0"/>
          </reference>
          <reference field="19" count="1" selected="0">
            <x v="1"/>
          </reference>
        </references>
      </pivotArea>
    </chartFormat>
    <chartFormat chart="8" format="15" series="1">
      <pivotArea type="data" outline="0" fieldPosition="0">
        <references count="2">
          <reference field="4294967294" count="1" selected="0">
            <x v="1"/>
          </reference>
          <reference field="19" count="1" selected="0">
            <x v="1"/>
          </reference>
        </references>
      </pivotArea>
    </chartFormat>
    <chartFormat chart="8" format="16" series="1">
      <pivotArea type="data" outline="0" fieldPosition="0">
        <references count="2">
          <reference field="4294967294" count="1" selected="0">
            <x v="0"/>
          </reference>
          <reference field="19" count="1" selected="0">
            <x v="2"/>
          </reference>
        </references>
      </pivotArea>
    </chartFormat>
    <chartFormat chart="8" format="17" series="1">
      <pivotArea type="data" outline="0" fieldPosition="0">
        <references count="2">
          <reference field="4294967294" count="1" selected="0">
            <x v="1"/>
          </reference>
          <reference field="19" count="1" selected="0">
            <x v="2"/>
          </reference>
        </references>
      </pivotArea>
    </chartFormat>
    <chartFormat chart="9" format="12" series="1">
      <pivotArea type="data" outline="0" fieldPosition="0">
        <references count="2">
          <reference field="4294967294" count="1" selected="0">
            <x v="0"/>
          </reference>
          <reference field="19" count="1" selected="0">
            <x v="0"/>
          </reference>
        </references>
      </pivotArea>
    </chartFormat>
    <chartFormat chart="9" format="13" series="1">
      <pivotArea type="data" outline="0" fieldPosition="0">
        <references count="2">
          <reference field="4294967294" count="1" selected="0">
            <x v="1"/>
          </reference>
          <reference field="19" count="1" selected="0">
            <x v="0"/>
          </reference>
        </references>
      </pivotArea>
    </chartFormat>
    <chartFormat chart="9" format="14" series="1">
      <pivotArea type="data" outline="0" fieldPosition="0">
        <references count="2">
          <reference field="4294967294" count="1" selected="0">
            <x v="0"/>
          </reference>
          <reference field="19" count="1" selected="0">
            <x v="1"/>
          </reference>
        </references>
      </pivotArea>
    </chartFormat>
    <chartFormat chart="9" format="15" series="1">
      <pivotArea type="data" outline="0" fieldPosition="0">
        <references count="2">
          <reference field="4294967294" count="1" selected="0">
            <x v="1"/>
          </reference>
          <reference field="19" count="1" selected="0">
            <x v="1"/>
          </reference>
        </references>
      </pivotArea>
    </chartFormat>
    <chartFormat chart="9" format="16" series="1">
      <pivotArea type="data" outline="0" fieldPosition="0">
        <references count="2">
          <reference field="4294967294" count="1" selected="0">
            <x v="0"/>
          </reference>
          <reference field="19" count="1" selected="0">
            <x v="2"/>
          </reference>
        </references>
      </pivotArea>
    </chartFormat>
    <chartFormat chart="9" format="17" series="1">
      <pivotArea type="data" outline="0" fieldPosition="0">
        <references count="2">
          <reference field="4294967294" count="1" selected="0">
            <x v="1"/>
          </reference>
          <reference field="19" count="1" selected="0">
            <x v="2"/>
          </reference>
        </references>
      </pivotArea>
    </chartFormat>
  </chartFormats>
  <pivotTableStyleInfo name="PivotStyleLight1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628F6-A6B5-4154-9CC0-A7208C2DBE2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K9" firstHeaderRow="1" firstDataRow="2" firstDataCol="1"/>
  <pivotFields count="21">
    <pivotField showAll="0"/>
    <pivotField numFmtId="14" showAll="0">
      <items count="101">
        <item x="7"/>
        <item x="28"/>
        <item x="57"/>
        <item x="80"/>
        <item x="17"/>
        <item x="40"/>
        <item x="55"/>
        <item x="92"/>
        <item x="14"/>
        <item x="41"/>
        <item x="56"/>
        <item x="85"/>
        <item x="21"/>
        <item x="47"/>
        <item x="58"/>
        <item x="96"/>
        <item x="23"/>
        <item x="39"/>
        <item x="54"/>
        <item x="79"/>
        <item x="2"/>
        <item x="38"/>
        <item x="73"/>
        <item x="91"/>
        <item x="22"/>
        <item x="36"/>
        <item x="62"/>
        <item x="75"/>
        <item x="20"/>
        <item x="37"/>
        <item x="63"/>
        <item x="95"/>
        <item x="5"/>
        <item x="45"/>
        <item x="60"/>
        <item x="87"/>
        <item x="0"/>
        <item x="43"/>
        <item x="66"/>
        <item x="84"/>
        <item x="12"/>
        <item x="26"/>
        <item x="68"/>
        <item x="76"/>
        <item x="19"/>
        <item x="30"/>
        <item x="51"/>
        <item x="90"/>
        <item x="1"/>
        <item x="46"/>
        <item x="52"/>
        <item x="98"/>
        <item x="9"/>
        <item x="32"/>
        <item x="65"/>
        <item x="97"/>
        <item x="16"/>
        <item x="42"/>
        <item x="69"/>
        <item x="83"/>
        <item x="8"/>
        <item x="27"/>
        <item x="67"/>
        <item x="81"/>
        <item x="11"/>
        <item x="25"/>
        <item x="64"/>
        <item x="86"/>
        <item x="3"/>
        <item x="48"/>
        <item x="70"/>
        <item x="77"/>
        <item x="4"/>
        <item x="31"/>
        <item x="61"/>
        <item x="78"/>
        <item x="15"/>
        <item x="29"/>
        <item x="59"/>
        <item x="94"/>
        <item x="6"/>
        <item x="33"/>
        <item x="71"/>
        <item x="93"/>
        <item x="18"/>
        <item x="44"/>
        <item x="50"/>
        <item x="88"/>
        <item x="24"/>
        <item x="34"/>
        <item x="53"/>
        <item x="99"/>
        <item x="10"/>
        <item x="35"/>
        <item x="74"/>
        <item x="82"/>
        <item x="13"/>
        <item x="49"/>
        <item x="72"/>
        <item x="89"/>
        <item t="default"/>
      </items>
    </pivotField>
    <pivotField axis="axisCol" showAll="0">
      <items count="10">
        <item x="6"/>
        <item x="2"/>
        <item x="5"/>
        <item x="0"/>
        <item x="1"/>
        <item x="3"/>
        <item x="4"/>
        <item x="7"/>
        <item x="8"/>
        <item t="default"/>
      </items>
    </pivotField>
    <pivotField showAll="0"/>
    <pivotField showAll="0"/>
    <pivotField showAll="0">
      <items count="5">
        <item x="0"/>
        <item x="1"/>
        <item x="2"/>
        <item x="3"/>
        <item t="default"/>
      </items>
    </pivotField>
    <pivotField showAll="0"/>
    <pivotField axis="axisRow" showAll="0">
      <items count="5">
        <item sd="0" x="0"/>
        <item sd="0" x="1"/>
        <item sd="0" x="3"/>
        <item sd="0" x="2"/>
        <item t="default"/>
      </items>
    </pivotField>
    <pivotField showAll="0">
      <items count="101">
        <item x="49"/>
        <item x="83"/>
        <item x="63"/>
        <item x="78"/>
        <item x="26"/>
        <item x="95"/>
        <item x="41"/>
        <item x="11"/>
        <item x="97"/>
        <item x="66"/>
        <item x="15"/>
        <item x="42"/>
        <item x="82"/>
        <item x="8"/>
        <item x="0"/>
        <item x="80"/>
        <item x="22"/>
        <item x="59"/>
        <item x="58"/>
        <item x="85"/>
        <item x="92"/>
        <item x="46"/>
        <item x="48"/>
        <item x="74"/>
        <item x="89"/>
        <item x="20"/>
        <item x="75"/>
        <item x="94"/>
        <item x="16"/>
        <item x="32"/>
        <item x="60"/>
        <item x="40"/>
        <item x="6"/>
        <item x="33"/>
        <item x="47"/>
        <item x="5"/>
        <item x="87"/>
        <item x="53"/>
        <item x="10"/>
        <item x="17"/>
        <item x="86"/>
        <item x="56"/>
        <item x="77"/>
        <item x="96"/>
        <item x="54"/>
        <item x="29"/>
        <item x="71"/>
        <item x="13"/>
        <item x="23"/>
        <item x="79"/>
        <item x="65"/>
        <item x="25"/>
        <item x="3"/>
        <item x="36"/>
        <item x="27"/>
        <item x="37"/>
        <item x="28"/>
        <item x="93"/>
        <item x="4"/>
        <item x="62"/>
        <item x="12"/>
        <item x="55"/>
        <item x="81"/>
        <item x="31"/>
        <item x="50"/>
        <item x="67"/>
        <item x="64"/>
        <item x="52"/>
        <item x="9"/>
        <item x="91"/>
        <item x="90"/>
        <item x="99"/>
        <item x="44"/>
        <item x="70"/>
        <item x="73"/>
        <item x="18"/>
        <item x="38"/>
        <item x="68"/>
        <item x="69"/>
        <item x="39"/>
        <item x="35"/>
        <item x="19"/>
        <item x="43"/>
        <item x="45"/>
        <item x="1"/>
        <item x="61"/>
        <item x="30"/>
        <item x="57"/>
        <item x="51"/>
        <item x="88"/>
        <item x="24"/>
        <item x="98"/>
        <item x="2"/>
        <item x="34"/>
        <item x="14"/>
        <item x="72"/>
        <item x="21"/>
        <item x="76"/>
        <item x="7"/>
        <item x="84"/>
        <item t="default"/>
      </items>
    </pivotField>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7"/>
  </rowFields>
  <rowItems count="5">
    <i>
      <x/>
    </i>
    <i>
      <x v="1"/>
    </i>
    <i>
      <x v="2"/>
    </i>
    <i>
      <x v="3"/>
    </i>
    <i t="grand">
      <x/>
    </i>
  </rowItems>
  <colFields count="1">
    <field x="2"/>
  </colFields>
  <colItems count="10">
    <i>
      <x/>
    </i>
    <i>
      <x v="1"/>
    </i>
    <i>
      <x v="2"/>
    </i>
    <i>
      <x v="3"/>
    </i>
    <i>
      <x v="4"/>
    </i>
    <i>
      <x v="5"/>
    </i>
    <i>
      <x v="6"/>
    </i>
    <i>
      <x v="7"/>
    </i>
    <i>
      <x v="8"/>
    </i>
    <i t="grand">
      <x/>
    </i>
  </colItems>
  <dataFields count="1">
    <dataField name="% of Column Total" fld="16" showDataAs="percentOfCol" baseField="7" baseItem="1" numFmtId="10"/>
  </dataFields>
  <chartFormats count="36">
    <chartFormat chart="4" format="1"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 chart="4" format="7" series="1">
      <pivotArea type="data" outline="0" fieldPosition="0">
        <references count="2">
          <reference field="4294967294" count="1" selected="0">
            <x v="0"/>
          </reference>
          <reference field="2" count="1" selected="0">
            <x v="3"/>
          </reference>
        </references>
      </pivotArea>
    </chartFormat>
    <chartFormat chart="4" format="9" series="1">
      <pivotArea type="data" outline="0" fieldPosition="0">
        <references count="2">
          <reference field="4294967294" count="1" selected="0">
            <x v="0"/>
          </reference>
          <reference field="2" count="1" selected="0">
            <x v="4"/>
          </reference>
        </references>
      </pivotArea>
    </chartFormat>
    <chartFormat chart="4" format="11" series="1">
      <pivotArea type="data" outline="0" fieldPosition="0">
        <references count="2">
          <reference field="4294967294" count="1" selected="0">
            <x v="0"/>
          </reference>
          <reference field="2" count="1" selected="0">
            <x v="5"/>
          </reference>
        </references>
      </pivotArea>
    </chartFormat>
    <chartFormat chart="4" format="13" series="1">
      <pivotArea type="data" outline="0" fieldPosition="0">
        <references count="2">
          <reference field="4294967294" count="1" selected="0">
            <x v="0"/>
          </reference>
          <reference field="2" count="1" selected="0">
            <x v="6"/>
          </reference>
        </references>
      </pivotArea>
    </chartFormat>
    <chartFormat chart="4" format="15" series="1">
      <pivotArea type="data" outline="0" fieldPosition="0">
        <references count="2">
          <reference field="4294967294" count="1" selected="0">
            <x v="0"/>
          </reference>
          <reference field="2" count="1" selected="0">
            <x v="7"/>
          </reference>
        </references>
      </pivotArea>
    </chartFormat>
    <chartFormat chart="4" format="17" series="1">
      <pivotArea type="data" outline="0" fieldPosition="0">
        <references count="2">
          <reference field="4294967294" count="1" selected="0">
            <x v="0"/>
          </reference>
          <reference field="2" count="1" selected="0">
            <x v="8"/>
          </reference>
        </references>
      </pivotArea>
    </chartFormat>
    <chartFormat chart="9" format="1" series="1">
      <pivotArea type="data" outline="0" fieldPosition="0">
        <references count="2">
          <reference field="4294967294" count="1" selected="0">
            <x v="0"/>
          </reference>
          <reference field="2" count="1" selected="0">
            <x v="0"/>
          </reference>
        </references>
      </pivotArea>
    </chartFormat>
    <chartFormat chart="9" format="3" series="1">
      <pivotArea type="data" outline="0" fieldPosition="0">
        <references count="2">
          <reference field="4294967294" count="1" selected="0">
            <x v="0"/>
          </reference>
          <reference field="2" count="1" selected="0">
            <x v="1"/>
          </reference>
        </references>
      </pivotArea>
    </chartFormat>
    <chartFormat chart="9" format="5" series="1">
      <pivotArea type="data" outline="0" fieldPosition="0">
        <references count="2">
          <reference field="4294967294" count="1" selected="0">
            <x v="0"/>
          </reference>
          <reference field="2" count="1" selected="0">
            <x v="2"/>
          </reference>
        </references>
      </pivotArea>
    </chartFormat>
    <chartFormat chart="9" format="7" series="1">
      <pivotArea type="data" outline="0" fieldPosition="0">
        <references count="2">
          <reference field="4294967294" count="1" selected="0">
            <x v="0"/>
          </reference>
          <reference field="2" count="1" selected="0">
            <x v="3"/>
          </reference>
        </references>
      </pivotArea>
    </chartFormat>
    <chartFormat chart="9" format="9" series="1">
      <pivotArea type="data" outline="0" fieldPosition="0">
        <references count="2">
          <reference field="4294967294" count="1" selected="0">
            <x v="0"/>
          </reference>
          <reference field="2" count="1" selected="0">
            <x v="4"/>
          </reference>
        </references>
      </pivotArea>
    </chartFormat>
    <chartFormat chart="9" format="11" series="1">
      <pivotArea type="data" outline="0" fieldPosition="0">
        <references count="2">
          <reference field="4294967294" count="1" selected="0">
            <x v="0"/>
          </reference>
          <reference field="2" count="1" selected="0">
            <x v="5"/>
          </reference>
        </references>
      </pivotArea>
    </chartFormat>
    <chartFormat chart="9" format="13" series="1">
      <pivotArea type="data" outline="0" fieldPosition="0">
        <references count="2">
          <reference field="4294967294" count="1" selected="0">
            <x v="0"/>
          </reference>
          <reference field="2" count="1" selected="0">
            <x v="6"/>
          </reference>
        </references>
      </pivotArea>
    </chartFormat>
    <chartFormat chart="9" format="15" series="1">
      <pivotArea type="data" outline="0" fieldPosition="0">
        <references count="2">
          <reference field="4294967294" count="1" selected="0">
            <x v="0"/>
          </reference>
          <reference field="2" count="1" selected="0">
            <x v="7"/>
          </reference>
        </references>
      </pivotArea>
    </chartFormat>
    <chartFormat chart="9" format="17" series="1">
      <pivotArea type="data" outline="0" fieldPosition="0">
        <references count="2">
          <reference field="4294967294" count="1" selected="0">
            <x v="0"/>
          </reference>
          <reference field="2" count="1" selected="0">
            <x v="8"/>
          </reference>
        </references>
      </pivotArea>
    </chartFormat>
    <chartFormat chart="13" format="27" series="1">
      <pivotArea type="data" outline="0" fieldPosition="0">
        <references count="2">
          <reference field="4294967294" count="1" selected="0">
            <x v="0"/>
          </reference>
          <reference field="2" count="1" selected="0">
            <x v="0"/>
          </reference>
        </references>
      </pivotArea>
    </chartFormat>
    <chartFormat chart="13" format="28" series="1">
      <pivotArea type="data" outline="0" fieldPosition="0">
        <references count="2">
          <reference field="4294967294" count="1" selected="0">
            <x v="0"/>
          </reference>
          <reference field="2" count="1" selected="0">
            <x v="1"/>
          </reference>
        </references>
      </pivotArea>
    </chartFormat>
    <chartFormat chart="13" format="29" series="1">
      <pivotArea type="data" outline="0" fieldPosition="0">
        <references count="2">
          <reference field="4294967294" count="1" selected="0">
            <x v="0"/>
          </reference>
          <reference field="2" count="1" selected="0">
            <x v="2"/>
          </reference>
        </references>
      </pivotArea>
    </chartFormat>
    <chartFormat chart="13" format="30" series="1">
      <pivotArea type="data" outline="0" fieldPosition="0">
        <references count="2">
          <reference field="4294967294" count="1" selected="0">
            <x v="0"/>
          </reference>
          <reference field="2" count="1" selected="0">
            <x v="3"/>
          </reference>
        </references>
      </pivotArea>
    </chartFormat>
    <chartFormat chart="13" format="31" series="1">
      <pivotArea type="data" outline="0" fieldPosition="0">
        <references count="2">
          <reference field="4294967294" count="1" selected="0">
            <x v="0"/>
          </reference>
          <reference field="2" count="1" selected="0">
            <x v="4"/>
          </reference>
        </references>
      </pivotArea>
    </chartFormat>
    <chartFormat chart="13" format="32" series="1">
      <pivotArea type="data" outline="0" fieldPosition="0">
        <references count="2">
          <reference field="4294967294" count="1" selected="0">
            <x v="0"/>
          </reference>
          <reference field="2" count="1" selected="0">
            <x v="5"/>
          </reference>
        </references>
      </pivotArea>
    </chartFormat>
    <chartFormat chart="13" format="33" series="1">
      <pivotArea type="data" outline="0" fieldPosition="0">
        <references count="2">
          <reference field="4294967294" count="1" selected="0">
            <x v="0"/>
          </reference>
          <reference field="2" count="1" selected="0">
            <x v="6"/>
          </reference>
        </references>
      </pivotArea>
    </chartFormat>
    <chartFormat chart="13" format="34" series="1">
      <pivotArea type="data" outline="0" fieldPosition="0">
        <references count="2">
          <reference field="4294967294" count="1" selected="0">
            <x v="0"/>
          </reference>
          <reference field="2" count="1" selected="0">
            <x v="7"/>
          </reference>
        </references>
      </pivotArea>
    </chartFormat>
    <chartFormat chart="13" format="35" series="1">
      <pivotArea type="data" outline="0" fieldPosition="0">
        <references count="2">
          <reference field="4294967294" count="1" selected="0">
            <x v="0"/>
          </reference>
          <reference field="2" count="1" selected="0">
            <x v="8"/>
          </reference>
        </references>
      </pivotArea>
    </chartFormat>
    <chartFormat chart="14" format="27" series="1">
      <pivotArea type="data" outline="0" fieldPosition="0">
        <references count="2">
          <reference field="4294967294" count="1" selected="0">
            <x v="0"/>
          </reference>
          <reference field="2" count="1" selected="0">
            <x v="0"/>
          </reference>
        </references>
      </pivotArea>
    </chartFormat>
    <chartFormat chart="14" format="28" series="1">
      <pivotArea type="data" outline="0" fieldPosition="0">
        <references count="2">
          <reference field="4294967294" count="1" selected="0">
            <x v="0"/>
          </reference>
          <reference field="2" count="1" selected="0">
            <x v="1"/>
          </reference>
        </references>
      </pivotArea>
    </chartFormat>
    <chartFormat chart="14" format="29" series="1">
      <pivotArea type="data" outline="0" fieldPosition="0">
        <references count="2">
          <reference field="4294967294" count="1" selected="0">
            <x v="0"/>
          </reference>
          <reference field="2" count="1" selected="0">
            <x v="2"/>
          </reference>
        </references>
      </pivotArea>
    </chartFormat>
    <chartFormat chart="14" format="30" series="1">
      <pivotArea type="data" outline="0" fieldPosition="0">
        <references count="2">
          <reference field="4294967294" count="1" selected="0">
            <x v="0"/>
          </reference>
          <reference field="2" count="1" selected="0">
            <x v="3"/>
          </reference>
        </references>
      </pivotArea>
    </chartFormat>
    <chartFormat chart="14" format="31" series="1">
      <pivotArea type="data" outline="0" fieldPosition="0">
        <references count="2">
          <reference field="4294967294" count="1" selected="0">
            <x v="0"/>
          </reference>
          <reference field="2" count="1" selected="0">
            <x v="4"/>
          </reference>
        </references>
      </pivotArea>
    </chartFormat>
    <chartFormat chart="14" format="32" series="1">
      <pivotArea type="data" outline="0" fieldPosition="0">
        <references count="2">
          <reference field="4294967294" count="1" selected="0">
            <x v="0"/>
          </reference>
          <reference field="2" count="1" selected="0">
            <x v="5"/>
          </reference>
        </references>
      </pivotArea>
    </chartFormat>
    <chartFormat chart="14" format="33" series="1">
      <pivotArea type="data" outline="0" fieldPosition="0">
        <references count="2">
          <reference field="4294967294" count="1" selected="0">
            <x v="0"/>
          </reference>
          <reference field="2" count="1" selected="0">
            <x v="6"/>
          </reference>
        </references>
      </pivotArea>
    </chartFormat>
    <chartFormat chart="14" format="34" series="1">
      <pivotArea type="data" outline="0" fieldPosition="0">
        <references count="2">
          <reference field="4294967294" count="1" selected="0">
            <x v="0"/>
          </reference>
          <reference field="2" count="1" selected="0">
            <x v="7"/>
          </reference>
        </references>
      </pivotArea>
    </chartFormat>
    <chartFormat chart="14" format="35" series="1">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0B09AD-CD16-4C2D-8E0B-034939B3CB8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I20" firstHeaderRow="1" firstDataRow="3" firstDataCol="1"/>
  <pivotFields count="21">
    <pivotField showAll="0"/>
    <pivotField numFmtId="14" showAll="0">
      <items count="101">
        <item x="7"/>
        <item x="28"/>
        <item x="57"/>
        <item x="80"/>
        <item x="17"/>
        <item x="40"/>
        <item x="55"/>
        <item x="92"/>
        <item x="14"/>
        <item x="41"/>
        <item x="56"/>
        <item x="85"/>
        <item x="21"/>
        <item x="47"/>
        <item x="58"/>
        <item x="96"/>
        <item x="23"/>
        <item x="39"/>
        <item x="54"/>
        <item x="79"/>
        <item x="2"/>
        <item x="38"/>
        <item x="73"/>
        <item x="91"/>
        <item x="22"/>
        <item x="36"/>
        <item x="62"/>
        <item x="75"/>
        <item x="20"/>
        <item x="37"/>
        <item x="63"/>
        <item x="95"/>
        <item x="5"/>
        <item x="45"/>
        <item x="60"/>
        <item x="87"/>
        <item x="0"/>
        <item x="43"/>
        <item x="66"/>
        <item x="84"/>
        <item x="12"/>
        <item x="26"/>
        <item x="68"/>
        <item x="76"/>
        <item x="19"/>
        <item x="30"/>
        <item x="51"/>
        <item x="90"/>
        <item x="1"/>
        <item x="46"/>
        <item x="52"/>
        <item x="98"/>
        <item x="9"/>
        <item x="32"/>
        <item x="65"/>
        <item x="97"/>
        <item x="16"/>
        <item x="42"/>
        <item x="69"/>
        <item x="83"/>
        <item x="8"/>
        <item x="27"/>
        <item x="67"/>
        <item x="81"/>
        <item x="11"/>
        <item x="25"/>
        <item x="64"/>
        <item x="86"/>
        <item x="3"/>
        <item x="48"/>
        <item x="70"/>
        <item x="77"/>
        <item x="4"/>
        <item x="31"/>
        <item x="61"/>
        <item x="78"/>
        <item x="15"/>
        <item x="29"/>
        <item x="59"/>
        <item x="94"/>
        <item x="6"/>
        <item x="33"/>
        <item x="71"/>
        <item x="93"/>
        <item x="18"/>
        <item x="44"/>
        <item x="50"/>
        <item x="88"/>
        <item x="24"/>
        <item x="34"/>
        <item x="53"/>
        <item x="99"/>
        <item x="10"/>
        <item x="35"/>
        <item x="74"/>
        <item x="82"/>
        <item x="13"/>
        <item x="49"/>
        <item x="72"/>
        <item x="89"/>
        <item t="default"/>
      </items>
    </pivotField>
    <pivotField showAll="0"/>
    <pivotField dataField="1" showAll="0">
      <items count="101">
        <item x="70"/>
        <item x="82"/>
        <item x="43"/>
        <item x="98"/>
        <item x="34"/>
        <item x="4"/>
        <item x="32"/>
        <item x="79"/>
        <item x="66"/>
        <item x="63"/>
        <item x="53"/>
        <item x="36"/>
        <item x="90"/>
        <item x="33"/>
        <item x="21"/>
        <item x="58"/>
        <item x="17"/>
        <item x="30"/>
        <item x="16"/>
        <item x="35"/>
        <item x="91"/>
        <item x="95"/>
        <item x="80"/>
        <item x="12"/>
        <item x="59"/>
        <item x="29"/>
        <item x="49"/>
        <item x="31"/>
        <item x="52"/>
        <item x="68"/>
        <item x="20"/>
        <item x="11"/>
        <item x="81"/>
        <item x="1"/>
        <item x="67"/>
        <item x="46"/>
        <item x="10"/>
        <item x="24"/>
        <item x="55"/>
        <item x="83"/>
        <item x="78"/>
        <item x="5"/>
        <item x="41"/>
        <item x="69"/>
        <item x="47"/>
        <item x="93"/>
        <item x="13"/>
        <item x="7"/>
        <item x="9"/>
        <item x="2"/>
        <item x="94"/>
        <item x="25"/>
        <item x="77"/>
        <item x="0"/>
        <item x="39"/>
        <item x="97"/>
        <item x="44"/>
        <item x="73"/>
        <item x="64"/>
        <item x="87"/>
        <item x="40"/>
        <item x="42"/>
        <item x="15"/>
        <item x="62"/>
        <item x="99"/>
        <item x="85"/>
        <item x="23"/>
        <item x="57"/>
        <item x="45"/>
        <item x="48"/>
        <item x="96"/>
        <item x="19"/>
        <item x="89"/>
        <item x="92"/>
        <item x="22"/>
        <item x="74"/>
        <item x="50"/>
        <item x="71"/>
        <item x="18"/>
        <item x="65"/>
        <item x="26"/>
        <item x="14"/>
        <item x="3"/>
        <item x="86"/>
        <item x="61"/>
        <item x="6"/>
        <item x="75"/>
        <item x="60"/>
        <item x="38"/>
        <item x="28"/>
        <item x="51"/>
        <item x="37"/>
        <item x="88"/>
        <item x="84"/>
        <item x="54"/>
        <item x="27"/>
        <item x="76"/>
        <item x="8"/>
        <item x="56"/>
        <item x="72"/>
        <item t="default"/>
      </items>
    </pivotField>
    <pivotField showAll="0"/>
    <pivotField axis="axisRow" showAll="0">
      <items count="5">
        <item x="0"/>
        <item x="1"/>
        <item x="2"/>
        <item x="3"/>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axis="axisCol" showAll="0">
      <items count="4">
        <item x="2"/>
        <item x="0"/>
        <item x="1"/>
        <item t="default"/>
      </items>
    </pivotField>
    <pivotField dragToRow="0" dragToCol="0" dragToPage="0" showAll="0" defaultSubtotal="0"/>
  </pivotFields>
  <rowFields count="2">
    <field x="17"/>
    <field x="5"/>
  </rowFields>
  <rowItems count="15">
    <i>
      <x/>
    </i>
    <i r="1">
      <x/>
    </i>
    <i r="1">
      <x v="1"/>
    </i>
    <i r="1">
      <x v="2"/>
    </i>
    <i>
      <x v="1"/>
    </i>
    <i r="1">
      <x/>
    </i>
    <i r="1">
      <x v="1"/>
    </i>
    <i r="1">
      <x v="2"/>
    </i>
    <i r="1">
      <x v="3"/>
    </i>
    <i>
      <x v="2"/>
    </i>
    <i r="1">
      <x/>
    </i>
    <i r="1">
      <x v="1"/>
    </i>
    <i r="1">
      <x v="2"/>
    </i>
    <i r="1">
      <x v="3"/>
    </i>
    <i t="grand">
      <x/>
    </i>
  </rowItems>
  <colFields count="2">
    <field x="19"/>
    <field x="-2"/>
  </colFields>
  <colItems count="8">
    <i>
      <x/>
      <x/>
    </i>
    <i r="1" i="1">
      <x v="1"/>
    </i>
    <i>
      <x v="1"/>
      <x/>
    </i>
    <i r="1" i="1">
      <x v="1"/>
    </i>
    <i>
      <x v="2"/>
      <x/>
    </i>
    <i r="1" i="1">
      <x v="1"/>
    </i>
    <i t="grand">
      <x/>
    </i>
    <i t="grand" i="1">
      <x/>
    </i>
  </colItems>
  <dataFields count="2">
    <dataField name="Count of Customer_Name" fld="3" subtotal="count" baseField="0" baseItem="0"/>
    <dataField name="Sum of Total Order Value" fld="16" baseField="0" baseItem="0"/>
  </dataFields>
  <chartFormats count="2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1"/>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0" format="3" series="1">
      <pivotArea type="data" outline="0" fieldPosition="0">
        <references count="2">
          <reference field="4294967294" count="1" selected="0">
            <x v="1"/>
          </reference>
          <reference field="19" count="1" selected="0">
            <x v="1"/>
          </reference>
        </references>
      </pivotArea>
    </chartFormat>
    <chartFormat chart="0" format="4" series="1">
      <pivotArea type="data" outline="0" fieldPosition="0">
        <references count="2">
          <reference field="4294967294" count="1" selected="0">
            <x v="0"/>
          </reference>
          <reference field="19" count="1" selected="0">
            <x v="2"/>
          </reference>
        </references>
      </pivotArea>
    </chartFormat>
    <chartFormat chart="0" format="5" series="1">
      <pivotArea type="data" outline="0" fieldPosition="0">
        <references count="2">
          <reference field="4294967294" count="1" selected="0">
            <x v="1"/>
          </reference>
          <reference field="19" count="1" selected="0">
            <x v="2"/>
          </reference>
        </references>
      </pivotArea>
    </chartFormat>
    <chartFormat chart="2" format="0" series="1">
      <pivotArea type="data" outline="0" fieldPosition="0">
        <references count="2">
          <reference field="4294967294" count="1" selected="0">
            <x v="0"/>
          </reference>
          <reference field="19" count="1" selected="0">
            <x v="0"/>
          </reference>
        </references>
      </pivotArea>
    </chartFormat>
    <chartFormat chart="2" format="1" series="1">
      <pivotArea type="data" outline="0" fieldPosition="0">
        <references count="2">
          <reference field="4294967294" count="1" selected="0">
            <x v="1"/>
          </reference>
          <reference field="19" count="1" selected="0">
            <x v="0"/>
          </reference>
        </references>
      </pivotArea>
    </chartFormat>
    <chartFormat chart="2" format="2" series="1">
      <pivotArea type="data" outline="0" fieldPosition="0">
        <references count="2">
          <reference field="4294967294" count="1" selected="0">
            <x v="0"/>
          </reference>
          <reference field="19" count="1" selected="0">
            <x v="1"/>
          </reference>
        </references>
      </pivotArea>
    </chartFormat>
    <chartFormat chart="2" format="3" series="1">
      <pivotArea type="data" outline="0" fieldPosition="0">
        <references count="2">
          <reference field="4294967294" count="1" selected="0">
            <x v="1"/>
          </reference>
          <reference field="19" count="1" selected="0">
            <x v="1"/>
          </reference>
        </references>
      </pivotArea>
    </chartFormat>
    <chartFormat chart="2" format="4" series="1">
      <pivotArea type="data" outline="0" fieldPosition="0">
        <references count="2">
          <reference field="4294967294" count="1" selected="0">
            <x v="0"/>
          </reference>
          <reference field="19" count="1" selected="0">
            <x v="2"/>
          </reference>
        </references>
      </pivotArea>
    </chartFormat>
    <chartFormat chart="2" format="5" series="1">
      <pivotArea type="data" outline="0" fieldPosition="0">
        <references count="2">
          <reference field="4294967294" count="1" selected="0">
            <x v="1"/>
          </reference>
          <reference field="19" count="1" selected="0">
            <x v="2"/>
          </reference>
        </references>
      </pivotArea>
    </chartFormat>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1"/>
          </reference>
          <reference field="19" count="1" selected="0">
            <x v="0"/>
          </reference>
        </references>
      </pivotArea>
    </chartFormat>
    <chartFormat chart="4" format="2" series="1">
      <pivotArea type="data" outline="0" fieldPosition="0">
        <references count="2">
          <reference field="4294967294" count="1" selected="0">
            <x v="0"/>
          </reference>
          <reference field="19" count="1" selected="0">
            <x v="1"/>
          </reference>
        </references>
      </pivotArea>
    </chartFormat>
    <chartFormat chart="4" format="3" series="1">
      <pivotArea type="data" outline="0" fieldPosition="0">
        <references count="2">
          <reference field="4294967294" count="1" selected="0">
            <x v="1"/>
          </reference>
          <reference field="19" count="1" selected="0">
            <x v="1"/>
          </reference>
        </references>
      </pivotArea>
    </chartFormat>
    <chartFormat chart="4" format="4" series="1">
      <pivotArea type="data" outline="0" fieldPosition="0">
        <references count="2">
          <reference field="4294967294" count="1" selected="0">
            <x v="0"/>
          </reference>
          <reference field="19" count="1" selected="0">
            <x v="2"/>
          </reference>
        </references>
      </pivotArea>
    </chartFormat>
    <chartFormat chart="4" format="5" series="1">
      <pivotArea type="data" outline="0" fieldPosition="0">
        <references count="2">
          <reference field="4294967294" count="1" selected="0">
            <x v="1"/>
          </reference>
          <reference field="19" count="1" selected="0">
            <x v="2"/>
          </reference>
        </references>
      </pivotArea>
    </chartFormat>
    <chartFormat chart="10" format="12" series="1">
      <pivotArea type="data" outline="0" fieldPosition="0">
        <references count="2">
          <reference field="4294967294" count="1" selected="0">
            <x v="0"/>
          </reference>
          <reference field="19" count="1" selected="0">
            <x v="0"/>
          </reference>
        </references>
      </pivotArea>
    </chartFormat>
    <chartFormat chart="10" format="13" series="1">
      <pivotArea type="data" outline="0" fieldPosition="0">
        <references count="2">
          <reference field="4294967294" count="1" selected="0">
            <x v="1"/>
          </reference>
          <reference field="19" count="1" selected="0">
            <x v="0"/>
          </reference>
        </references>
      </pivotArea>
    </chartFormat>
    <chartFormat chart="10" format="14" series="1">
      <pivotArea type="data" outline="0" fieldPosition="0">
        <references count="2">
          <reference field="4294967294" count="1" selected="0">
            <x v="0"/>
          </reference>
          <reference field="19" count="1" selected="0">
            <x v="1"/>
          </reference>
        </references>
      </pivotArea>
    </chartFormat>
    <chartFormat chart="10" format="15" series="1">
      <pivotArea type="data" outline="0" fieldPosition="0">
        <references count="2">
          <reference field="4294967294" count="1" selected="0">
            <x v="1"/>
          </reference>
          <reference field="19" count="1" selected="0">
            <x v="1"/>
          </reference>
        </references>
      </pivotArea>
    </chartFormat>
    <chartFormat chart="10" format="16" series="1">
      <pivotArea type="data" outline="0" fieldPosition="0">
        <references count="2">
          <reference field="4294967294" count="1" selected="0">
            <x v="0"/>
          </reference>
          <reference field="19" count="1" selected="0">
            <x v="2"/>
          </reference>
        </references>
      </pivotArea>
    </chartFormat>
    <chartFormat chart="10" format="17" series="1">
      <pivotArea type="data" outline="0" fieldPosition="0">
        <references count="2">
          <reference field="4294967294" count="1" selected="0">
            <x v="1"/>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89BAFE-58E1-45CB-BD1F-AD059D07F744}" sourceName="Region">
  <pivotTables>
    <pivotTable tabId="11" name="PivotTable5"/>
    <pivotTable tabId="12" name="PivotTable6"/>
    <pivotTable tabId="10" name="PivotTable3"/>
  </pivotTables>
  <data>
    <tabular pivotCacheId="171576464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36D7FCB-5632-4648-9550-C01EE70CCDC2}" sourceName="Order_Status">
  <pivotTables>
    <pivotTable tabId="12" name="PivotTable6"/>
  </pivotTables>
  <data>
    <tabular pivotCacheId="171576464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4EBC3300-2900-4A0E-933B-10D673BCDB5D}" sourceName="Product_Category">
  <pivotTables>
    <pivotTable tabId="11" name="PivotTable5"/>
    <pivotTable tabId="12" name="PivotTable6"/>
    <pivotTable tabId="10" name="PivotTable3"/>
  </pivotTables>
  <data>
    <tabular pivotCacheId="1715764640">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BCA6F8F-A6D0-47EE-BF91-09DC7962FF0C}" cache="Slicer_Region" caption="Region" style="SlicerStyleOther2" rowHeight="234950"/>
  <slicer name="Product_Category 2" xr10:uid="{ABDB1F20-20CB-459B-B1E9-6CFF02F62E48}" cache="Slicer_Product_Category1"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C861AA-45AF-4ED1-9CB8-9CB6EEE3F94C}" cache="Slicer_Region" caption="Region" style="SlicerStyleOther2" rowHeight="234950"/>
  <slicer name="Product_Category 1" xr10:uid="{C818FCE7-63D0-43BE-908C-9BA2114FD0C4}" cache="Slicer_Product_Category1" caption="Product_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95A602D-0AB1-42B3-AF54-77AB1D42B425}" cache="Slicer_Order_Status" caption="Order_Status" rowHeight="234950"/>
  <slicer name="Product_Category" xr10:uid="{B1F81086-C01A-4FB8-A501-5EE1252EA163}" cache="Slicer_Product_Category1"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D842A-C287-4E4E-9488-A52BE15A2B39}" name="SalesData" displayName="SalesData" ref="A1:T101" totalsRowShown="0">
  <autoFilter ref="A1:T101" xr:uid="{3EAD842A-C287-4E4E-9488-A52BE15A2B39}"/>
  <sortState xmlns:xlrd2="http://schemas.microsoft.com/office/spreadsheetml/2017/richdata2" ref="A2:T101">
    <sortCondition ref="F2:F101" customList="North,South,East,West"/>
    <sortCondition ref="Q2:Q101"/>
    <sortCondition ref="B2:B101"/>
  </sortState>
  <tableColumns count="20">
    <tableColumn id="1" xr3:uid="{29B56B7B-E5CC-4F66-B0BB-709590485ACA}" name="Order_ID"/>
    <tableColumn id="2" xr3:uid="{DF8F0881-35CE-4BBD-86C1-C8A888E813AF}" name="Order_Date" dataDxfId="8"/>
    <tableColumn id="19" xr3:uid="{E824CBC2-7C8F-4B4F-A71B-98C6068BE3FE}" name="Month" dataDxfId="7">
      <calculatedColumnFormula>TEXT(SalesData[[#This Row],[Order_Date]],"MMMM")</calculatedColumnFormula>
    </tableColumn>
    <tableColumn id="3" xr3:uid="{C6741B1A-8991-4E31-B381-1AAE2E3289A8}" name="Customer_Name"/>
    <tableColumn id="4" xr3:uid="{44E848BC-58BA-4E06-BE28-83682B190DBC}" name="Customer_Email"/>
    <tableColumn id="5" xr3:uid="{E1A4B1BF-B879-4958-B69B-E76048491534}" name="Region"/>
    <tableColumn id="6" xr3:uid="{CAB5334C-92E0-46CD-B499-AD7B5D8CB339}" name="City"/>
    <tableColumn id="7" xr3:uid="{29A4BE8C-9798-4603-AA4A-FC3A0A8D118A}" name="Product_Category"/>
    <tableColumn id="8" xr3:uid="{5F80CAAD-E330-40E0-9BDB-314BA05AC35E}" name="Product_Name"/>
    <tableColumn id="9" xr3:uid="{AC3117CF-B31E-4CEE-9CB1-6B50AA7650CF}" name="Quantity"/>
    <tableColumn id="10" xr3:uid="{4DD9CBA2-E194-4F7D-9C91-8B0F00B43800}" name="Unit_Price"/>
    <tableColumn id="15" xr3:uid="{31F98BCD-744B-4625-8971-E091227D6A9B}" name="Subtotal" dataDxfId="6">
      <calculatedColumnFormula>SalesData[[#This Row],[Unit_Price]]*SalesData[[#This Row],[Quantity]]</calculatedColumnFormula>
    </tableColumn>
    <tableColumn id="11" xr3:uid="{285A2663-AE6A-45F9-9D1E-B997D1C98096}" name="Discount_Percent"/>
    <tableColumn id="16" xr3:uid="{52105C19-5056-47BF-B3C2-BBBA78DB2BAF}" name="Discount_Amount" dataDxfId="5">
      <calculatedColumnFormula>SalesData[[#This Row],[Subtotal]]*(SalesData[[#This Row],[Discount_Percent]]/100)</calculatedColumnFormula>
    </tableColumn>
    <tableColumn id="17" xr3:uid="{76D07B69-BE98-4A97-936A-B05E9180A0A8}" name="Net_Amount" dataDxfId="4">
      <calculatedColumnFormula>SalesData[[#This Row],[Subtotal]]-SalesData[[#This Row],[Discount_Amount]]</calculatedColumnFormula>
    </tableColumn>
    <tableColumn id="12" xr3:uid="{5DAFB6E1-BCC4-447A-A132-F0ED84543D3A}" name="Shipping_Cost"/>
    <tableColumn id="18" xr3:uid="{D303060B-DF93-436D-A627-213996AD3838}" name="Total Order Value" dataDxfId="3">
      <calculatedColumnFormula>SUM(SalesData[[#This Row],[Net_Amount]]+SalesData[[#This Row],[Shipping_Cost]])</calculatedColumnFormula>
    </tableColumn>
    <tableColumn id="20" xr3:uid="{632C0AA3-4B9B-4B0B-9010-7B6C9B081056}" name="Revenue Category" dataDxfId="2">
      <calculatedColumnFormula>IF(SalesData[[#This Row],[Total Order Value]]&gt;200,"High Value",IF(SalesData[[#This Row],[Total Order Value]]&gt;100,"Medium Value","Low Value"))</calculatedColumnFormula>
    </tableColumn>
    <tableColumn id="13" xr3:uid="{3A7C4F87-1965-4852-86A3-AAFC690121CB}" name="Payment_Method"/>
    <tableColumn id="14" xr3:uid="{DC65BCEE-4D6E-4454-83CB-0956F16DB1B9}" name="Order_Status"/>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D9AE9B-5866-4D55-A58C-69B5DDCCB8E4}" name="Table35" displayName="Table35" ref="Y11:Z15" totalsRowShown="0">
  <autoFilter ref="Y11:Z15" xr:uid="{18D9AE9B-5866-4D55-A58C-69B5DDCCB8E4}"/>
  <tableColumns count="2">
    <tableColumn id="1" xr3:uid="{8009E96E-CC79-45CE-8E87-BB8E92DC3AE7}" name="Regions"/>
    <tableColumn id="2" xr3:uid="{9C7DB0EB-9504-4D66-AF53-A328A1CC4BB2}" name="Order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70D40B-BFDE-4D87-9F0A-256C2E96C777}" name="Table3512" displayName="Table3512" ref="Y11:Z15" totalsRowShown="0">
  <autoFilter ref="Y11:Z15" xr:uid="{18D9AE9B-5866-4D55-A58C-69B5DDCCB8E4}"/>
  <tableColumns count="2">
    <tableColumn id="1" xr3:uid="{0EDA97FE-330E-405E-9A55-B37CD6CD17AD}" name="Regions"/>
    <tableColumn id="2" xr3:uid="{246F73F6-4DB0-4670-B6CE-D361BE0A24A0}" name="Order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32D9C06-963F-4900-9F2A-CF1E793EE131}" sourceName="Order_Date">
  <pivotTables>
    <pivotTable tabId="11" name="PivotTable5"/>
    <pivotTable tabId="12" name="PivotTable6"/>
    <pivotTable tabId="10" name="PivotTable3"/>
  </pivotTables>
  <state minimalRefreshVersion="6" lastRefreshVersion="6" pivotCacheId="171576464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AC93E6A8-06C7-466E-B4D4-7EF2C970709D}" cache="NativeTimeline_Order_Date" caption="Order_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0A591BF-DBE5-452F-B37A-BF21DB71D096}" cache="NativeTimeline_Order_Date" caption="Order_Date" level="2" selectionLevel="2"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7157-3FEA-48BD-95A3-910DE42ABB91}">
  <dimension ref="A1:AG5"/>
  <sheetViews>
    <sheetView showGridLines="0" tabSelected="1" topLeftCell="A5" zoomScale="70" zoomScaleNormal="115" workbookViewId="0">
      <selection activeCell="AS94" sqref="AS94"/>
    </sheetView>
  </sheetViews>
  <sheetFormatPr defaultRowHeight="14.4" x14ac:dyDescent="0.3"/>
  <sheetData>
    <row r="1" spans="1:33" ht="14.4" customHeight="1" x14ac:dyDescent="0.3">
      <c r="A1" s="42" t="s">
        <v>489</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row>
    <row r="2" spans="1:33" ht="14.4" customHeight="1" x14ac:dyDescent="0.3">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row>
    <row r="3" spans="1:33" ht="14.4" customHeight="1" x14ac:dyDescent="0.3">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row>
    <row r="4" spans="1:33" ht="14.4" customHeight="1" x14ac:dyDescent="0.3">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row>
    <row r="5" spans="1:33" ht="14.4" customHeight="1" x14ac:dyDescent="0.3">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row>
  </sheetData>
  <mergeCells count="1">
    <mergeCell ref="A1:AG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6294-52F7-4AEE-AB10-73A915528ACF}">
  <dimension ref="A1:N101"/>
  <sheetViews>
    <sheetView workbookViewId="0">
      <selection sqref="A1:XFD1048576"/>
    </sheetView>
  </sheetViews>
  <sheetFormatPr defaultRowHeight="14.4" x14ac:dyDescent="0.3"/>
  <cols>
    <col min="1" max="1" width="9.33203125" bestFit="1" customWidth="1"/>
    <col min="2" max="2" width="10.5546875" bestFit="1" customWidth="1"/>
    <col min="3" max="3" width="16.44140625" bestFit="1" customWidth="1"/>
    <col min="4" max="4" width="21.6640625" bestFit="1" customWidth="1"/>
    <col min="5" max="5" width="6.5546875" bestFit="1" customWidth="1"/>
    <col min="6" max="6" width="12" bestFit="1" customWidth="1"/>
    <col min="7" max="7" width="15.77734375" bestFit="1" customWidth="1"/>
    <col min="8" max="8" width="17" bestFit="1" customWidth="1"/>
    <col min="9" max="9" width="8" bestFit="1" customWidth="1"/>
    <col min="10" max="10" width="9.44140625" bestFit="1" customWidth="1"/>
    <col min="11" max="11" width="15.44140625" bestFit="1" customWidth="1"/>
    <col min="12" max="12" width="12.33203125" bestFit="1" customWidth="1"/>
    <col min="13" max="13" width="15.6640625" bestFit="1" customWidth="1"/>
    <col min="14" max="14" width="11.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s="1">
        <v>45296</v>
      </c>
      <c r="C2" t="s">
        <v>15</v>
      </c>
      <c r="D2" t="s">
        <v>16</v>
      </c>
      <c r="E2" t="s">
        <v>17</v>
      </c>
      <c r="F2" t="s">
        <v>18</v>
      </c>
      <c r="G2" t="s">
        <v>19</v>
      </c>
      <c r="H2" t="s">
        <v>20</v>
      </c>
      <c r="I2">
        <v>2</v>
      </c>
      <c r="J2">
        <v>29.99</v>
      </c>
      <c r="K2">
        <v>10</v>
      </c>
      <c r="L2">
        <v>5.99</v>
      </c>
      <c r="M2" t="s">
        <v>21</v>
      </c>
      <c r="N2" t="s">
        <v>22</v>
      </c>
    </row>
    <row r="3" spans="1:14" x14ac:dyDescent="0.3">
      <c r="A3" t="s">
        <v>23</v>
      </c>
      <c r="B3" s="1">
        <v>45298</v>
      </c>
      <c r="C3" t="s">
        <v>24</v>
      </c>
      <c r="D3" t="s">
        <v>25</v>
      </c>
      <c r="E3" t="s">
        <v>26</v>
      </c>
      <c r="F3" t="s">
        <v>27</v>
      </c>
      <c r="G3" t="s">
        <v>28</v>
      </c>
      <c r="H3" t="s">
        <v>29</v>
      </c>
      <c r="I3">
        <v>1</v>
      </c>
      <c r="J3">
        <v>45.5</v>
      </c>
      <c r="K3">
        <v>0</v>
      </c>
      <c r="L3">
        <v>7.5</v>
      </c>
      <c r="M3" t="s">
        <v>30</v>
      </c>
      <c r="N3" t="s">
        <v>22</v>
      </c>
    </row>
    <row r="4" spans="1:14" x14ac:dyDescent="0.3">
      <c r="A4" t="s">
        <v>31</v>
      </c>
      <c r="B4" s="1">
        <v>45299</v>
      </c>
      <c r="C4" t="s">
        <v>32</v>
      </c>
      <c r="D4" t="s">
        <v>33</v>
      </c>
      <c r="E4" t="s">
        <v>34</v>
      </c>
      <c r="F4" t="s">
        <v>35</v>
      </c>
      <c r="G4" t="s">
        <v>19</v>
      </c>
      <c r="H4" t="s">
        <v>36</v>
      </c>
      <c r="I4">
        <v>5</v>
      </c>
      <c r="J4">
        <v>12.99</v>
      </c>
      <c r="K4">
        <v>15</v>
      </c>
      <c r="L4">
        <v>4.99</v>
      </c>
      <c r="M4" t="s">
        <v>21</v>
      </c>
      <c r="N4" t="s">
        <v>22</v>
      </c>
    </row>
    <row r="5" spans="1:14" x14ac:dyDescent="0.3">
      <c r="A5" t="s">
        <v>37</v>
      </c>
      <c r="B5" s="1">
        <v>45301</v>
      </c>
      <c r="C5" t="s">
        <v>38</v>
      </c>
      <c r="D5" t="s">
        <v>39</v>
      </c>
      <c r="E5" t="s">
        <v>40</v>
      </c>
      <c r="F5" t="s">
        <v>41</v>
      </c>
      <c r="G5" t="s">
        <v>42</v>
      </c>
      <c r="H5" t="s">
        <v>43</v>
      </c>
      <c r="I5">
        <v>3</v>
      </c>
      <c r="J5">
        <v>19.989999999999998</v>
      </c>
      <c r="K5">
        <v>20</v>
      </c>
      <c r="L5">
        <v>6.5</v>
      </c>
      <c r="M5" t="s">
        <v>44</v>
      </c>
      <c r="N5" t="s">
        <v>22</v>
      </c>
    </row>
    <row r="6" spans="1:14" x14ac:dyDescent="0.3">
      <c r="A6" t="s">
        <v>45</v>
      </c>
      <c r="B6" s="1">
        <v>45303</v>
      </c>
      <c r="C6" t="s">
        <v>46</v>
      </c>
      <c r="D6" t="s">
        <v>47</v>
      </c>
      <c r="E6" t="s">
        <v>17</v>
      </c>
      <c r="F6" t="s">
        <v>48</v>
      </c>
      <c r="G6" t="s">
        <v>19</v>
      </c>
      <c r="H6" t="s">
        <v>49</v>
      </c>
      <c r="I6">
        <v>1</v>
      </c>
      <c r="J6">
        <v>89.99</v>
      </c>
      <c r="K6">
        <v>5</v>
      </c>
      <c r="L6">
        <v>8.99</v>
      </c>
      <c r="M6" t="s">
        <v>21</v>
      </c>
      <c r="N6" t="s">
        <v>22</v>
      </c>
    </row>
    <row r="7" spans="1:14" x14ac:dyDescent="0.3">
      <c r="A7" t="s">
        <v>50</v>
      </c>
      <c r="B7" s="1">
        <v>45306</v>
      </c>
      <c r="C7" t="s">
        <v>51</v>
      </c>
      <c r="D7" t="s">
        <v>52</v>
      </c>
      <c r="E7" t="s">
        <v>26</v>
      </c>
      <c r="F7" t="s">
        <v>53</v>
      </c>
      <c r="G7" t="s">
        <v>28</v>
      </c>
      <c r="H7" t="s">
        <v>54</v>
      </c>
      <c r="I7">
        <v>2</v>
      </c>
      <c r="J7">
        <v>34.99</v>
      </c>
      <c r="K7">
        <v>0</v>
      </c>
      <c r="L7">
        <v>9.99</v>
      </c>
      <c r="M7" t="s">
        <v>30</v>
      </c>
      <c r="N7" t="s">
        <v>22</v>
      </c>
    </row>
    <row r="8" spans="1:14" x14ac:dyDescent="0.3">
      <c r="A8" t="s">
        <v>55</v>
      </c>
      <c r="B8" s="1">
        <v>45309</v>
      </c>
      <c r="C8" t="s">
        <v>56</v>
      </c>
      <c r="D8" t="s">
        <v>57</v>
      </c>
      <c r="E8" t="s">
        <v>34</v>
      </c>
      <c r="F8" t="s">
        <v>58</v>
      </c>
      <c r="G8" t="s">
        <v>59</v>
      </c>
      <c r="H8" t="s">
        <v>60</v>
      </c>
      <c r="I8">
        <v>1</v>
      </c>
      <c r="J8">
        <v>54.99</v>
      </c>
      <c r="K8">
        <v>10</v>
      </c>
      <c r="L8">
        <v>3.99</v>
      </c>
      <c r="M8" t="s">
        <v>21</v>
      </c>
      <c r="N8" t="s">
        <v>61</v>
      </c>
    </row>
    <row r="9" spans="1:14" x14ac:dyDescent="0.3">
      <c r="A9" t="s">
        <v>62</v>
      </c>
      <c r="B9" s="1">
        <v>45311</v>
      </c>
      <c r="C9" t="s">
        <v>63</v>
      </c>
      <c r="D9" t="s">
        <v>64</v>
      </c>
      <c r="E9" t="s">
        <v>40</v>
      </c>
      <c r="F9" t="s">
        <v>65</v>
      </c>
      <c r="G9" t="s">
        <v>42</v>
      </c>
      <c r="H9" t="s">
        <v>66</v>
      </c>
      <c r="I9">
        <v>2</v>
      </c>
      <c r="J9">
        <v>59.99</v>
      </c>
      <c r="K9">
        <v>15</v>
      </c>
      <c r="L9">
        <v>7.99</v>
      </c>
      <c r="M9" t="s">
        <v>21</v>
      </c>
      <c r="N9" t="s">
        <v>22</v>
      </c>
    </row>
    <row r="10" spans="1:14" x14ac:dyDescent="0.3">
      <c r="A10" t="s">
        <v>67</v>
      </c>
      <c r="B10" s="1">
        <v>45313</v>
      </c>
      <c r="C10" t="s">
        <v>68</v>
      </c>
      <c r="D10" t="s">
        <v>69</v>
      </c>
      <c r="E10" t="s">
        <v>17</v>
      </c>
      <c r="F10" t="s">
        <v>70</v>
      </c>
      <c r="G10" t="s">
        <v>19</v>
      </c>
      <c r="H10" t="s">
        <v>71</v>
      </c>
      <c r="I10">
        <v>1</v>
      </c>
      <c r="J10">
        <v>79.989999999999995</v>
      </c>
      <c r="K10">
        <v>0</v>
      </c>
      <c r="L10">
        <v>6.5</v>
      </c>
      <c r="M10" t="s">
        <v>44</v>
      </c>
      <c r="N10" t="s">
        <v>72</v>
      </c>
    </row>
    <row r="11" spans="1:14" x14ac:dyDescent="0.3">
      <c r="A11" t="s">
        <v>73</v>
      </c>
      <c r="B11" s="1">
        <v>45316</v>
      </c>
      <c r="C11" t="s">
        <v>74</v>
      </c>
      <c r="D11" t="s">
        <v>75</v>
      </c>
      <c r="E11" t="s">
        <v>26</v>
      </c>
      <c r="F11" t="s">
        <v>76</v>
      </c>
      <c r="G11" t="s">
        <v>59</v>
      </c>
      <c r="H11" t="s">
        <v>77</v>
      </c>
      <c r="I11">
        <v>2</v>
      </c>
      <c r="J11">
        <v>39.99</v>
      </c>
      <c r="K11">
        <v>5</v>
      </c>
      <c r="L11">
        <v>4.5</v>
      </c>
      <c r="M11" t="s">
        <v>30</v>
      </c>
      <c r="N11" t="s">
        <v>22</v>
      </c>
    </row>
    <row r="12" spans="1:14" x14ac:dyDescent="0.3">
      <c r="A12" t="s">
        <v>78</v>
      </c>
      <c r="B12" s="1">
        <v>45319</v>
      </c>
      <c r="C12" t="s">
        <v>79</v>
      </c>
      <c r="D12" t="s">
        <v>80</v>
      </c>
      <c r="E12" t="s">
        <v>34</v>
      </c>
      <c r="F12" t="s">
        <v>18</v>
      </c>
      <c r="G12" t="s">
        <v>19</v>
      </c>
      <c r="H12" t="s">
        <v>81</v>
      </c>
      <c r="I12">
        <v>1</v>
      </c>
      <c r="J12">
        <v>49.99</v>
      </c>
      <c r="K12">
        <v>10</v>
      </c>
      <c r="L12">
        <v>8.5</v>
      </c>
      <c r="M12" t="s">
        <v>21</v>
      </c>
      <c r="N12" t="s">
        <v>22</v>
      </c>
    </row>
    <row r="13" spans="1:14" x14ac:dyDescent="0.3">
      <c r="A13" t="s">
        <v>82</v>
      </c>
      <c r="B13" s="1">
        <v>45323</v>
      </c>
      <c r="C13" t="s">
        <v>83</v>
      </c>
      <c r="D13" t="s">
        <v>84</v>
      </c>
      <c r="E13" t="s">
        <v>40</v>
      </c>
      <c r="F13" t="s">
        <v>85</v>
      </c>
      <c r="G13" t="s">
        <v>28</v>
      </c>
      <c r="H13" t="s">
        <v>86</v>
      </c>
      <c r="I13">
        <v>3</v>
      </c>
      <c r="J13">
        <v>24.99</v>
      </c>
      <c r="K13">
        <v>0</v>
      </c>
      <c r="L13">
        <v>5.99</v>
      </c>
      <c r="M13" t="s">
        <v>30</v>
      </c>
      <c r="N13" t="s">
        <v>22</v>
      </c>
    </row>
    <row r="14" spans="1:14" x14ac:dyDescent="0.3">
      <c r="A14" t="s">
        <v>87</v>
      </c>
      <c r="B14" s="1">
        <v>45325</v>
      </c>
      <c r="C14" t="s">
        <v>88</v>
      </c>
      <c r="D14" t="s">
        <v>89</v>
      </c>
      <c r="E14" t="s">
        <v>17</v>
      </c>
      <c r="F14" t="s">
        <v>90</v>
      </c>
      <c r="G14" t="s">
        <v>42</v>
      </c>
      <c r="H14" t="s">
        <v>91</v>
      </c>
      <c r="I14">
        <v>1</v>
      </c>
      <c r="J14">
        <v>129.99</v>
      </c>
      <c r="K14">
        <v>20</v>
      </c>
      <c r="L14">
        <v>12.99</v>
      </c>
      <c r="M14" t="s">
        <v>21</v>
      </c>
      <c r="N14" t="s">
        <v>22</v>
      </c>
    </row>
    <row r="15" spans="1:14" x14ac:dyDescent="0.3">
      <c r="A15" t="s">
        <v>92</v>
      </c>
      <c r="B15" s="1">
        <v>45327</v>
      </c>
      <c r="C15" t="s">
        <v>93</v>
      </c>
      <c r="D15" t="s">
        <v>94</v>
      </c>
      <c r="E15" t="s">
        <v>26</v>
      </c>
      <c r="F15" t="s">
        <v>95</v>
      </c>
      <c r="G15" t="s">
        <v>19</v>
      </c>
      <c r="H15" t="s">
        <v>96</v>
      </c>
      <c r="I15">
        <v>2</v>
      </c>
      <c r="J15">
        <v>69.989999999999995</v>
      </c>
      <c r="K15">
        <v>10</v>
      </c>
      <c r="L15">
        <v>6.99</v>
      </c>
      <c r="M15" t="s">
        <v>44</v>
      </c>
      <c r="N15" t="s">
        <v>22</v>
      </c>
    </row>
    <row r="16" spans="1:14" x14ac:dyDescent="0.3">
      <c r="A16" t="s">
        <v>97</v>
      </c>
      <c r="B16" s="1">
        <v>45330</v>
      </c>
      <c r="C16" t="s">
        <v>98</v>
      </c>
      <c r="D16" t="s">
        <v>99</v>
      </c>
      <c r="E16" t="s">
        <v>34</v>
      </c>
      <c r="F16" t="s">
        <v>35</v>
      </c>
      <c r="G16" t="s">
        <v>59</v>
      </c>
      <c r="H16" t="s">
        <v>100</v>
      </c>
      <c r="I16">
        <v>1</v>
      </c>
      <c r="J16">
        <v>64.989999999999995</v>
      </c>
      <c r="K16">
        <v>15</v>
      </c>
      <c r="L16">
        <v>4.99</v>
      </c>
      <c r="M16" t="s">
        <v>21</v>
      </c>
      <c r="N16" t="s">
        <v>22</v>
      </c>
    </row>
    <row r="17" spans="1:14" x14ac:dyDescent="0.3">
      <c r="A17" t="s">
        <v>101</v>
      </c>
      <c r="B17" s="1">
        <v>45332</v>
      </c>
      <c r="C17" t="s">
        <v>102</v>
      </c>
      <c r="D17" t="s">
        <v>103</v>
      </c>
      <c r="E17" t="s">
        <v>40</v>
      </c>
      <c r="F17" t="s">
        <v>104</v>
      </c>
      <c r="G17" t="s">
        <v>28</v>
      </c>
      <c r="H17" t="s">
        <v>105</v>
      </c>
      <c r="I17">
        <v>4</v>
      </c>
      <c r="J17">
        <v>34.99</v>
      </c>
      <c r="K17">
        <v>5</v>
      </c>
      <c r="L17">
        <v>7.5</v>
      </c>
      <c r="M17" t="s">
        <v>30</v>
      </c>
      <c r="N17" t="s">
        <v>72</v>
      </c>
    </row>
    <row r="18" spans="1:14" x14ac:dyDescent="0.3">
      <c r="A18" t="s">
        <v>106</v>
      </c>
      <c r="B18" s="1">
        <v>45334</v>
      </c>
      <c r="C18" t="s">
        <v>107</v>
      </c>
      <c r="D18" t="s">
        <v>108</v>
      </c>
      <c r="E18" t="s">
        <v>17</v>
      </c>
      <c r="F18" t="s">
        <v>48</v>
      </c>
      <c r="G18" t="s">
        <v>19</v>
      </c>
      <c r="H18" t="s">
        <v>109</v>
      </c>
      <c r="I18">
        <v>1</v>
      </c>
      <c r="J18">
        <v>299.99</v>
      </c>
      <c r="K18">
        <v>10</v>
      </c>
      <c r="L18">
        <v>15.99</v>
      </c>
      <c r="M18" t="s">
        <v>21</v>
      </c>
      <c r="N18" t="s">
        <v>22</v>
      </c>
    </row>
    <row r="19" spans="1:14" x14ac:dyDescent="0.3">
      <c r="A19" t="s">
        <v>110</v>
      </c>
      <c r="B19" s="1">
        <v>45337</v>
      </c>
      <c r="C19" t="s">
        <v>111</v>
      </c>
      <c r="D19" t="s">
        <v>112</v>
      </c>
      <c r="E19" t="s">
        <v>26</v>
      </c>
      <c r="F19" t="s">
        <v>27</v>
      </c>
      <c r="G19" t="s">
        <v>42</v>
      </c>
      <c r="H19" t="s">
        <v>113</v>
      </c>
      <c r="I19">
        <v>2</v>
      </c>
      <c r="J19">
        <v>44.99</v>
      </c>
      <c r="K19">
        <v>20</v>
      </c>
      <c r="L19">
        <v>6.5</v>
      </c>
      <c r="M19" t="s">
        <v>44</v>
      </c>
      <c r="N19" t="s">
        <v>22</v>
      </c>
    </row>
    <row r="20" spans="1:14" x14ac:dyDescent="0.3">
      <c r="A20" t="s">
        <v>114</v>
      </c>
      <c r="B20" s="1">
        <v>45340</v>
      </c>
      <c r="C20" t="s">
        <v>115</v>
      </c>
      <c r="D20" t="s">
        <v>116</v>
      </c>
      <c r="E20" t="s">
        <v>34</v>
      </c>
      <c r="F20" t="s">
        <v>58</v>
      </c>
      <c r="G20" t="s">
        <v>59</v>
      </c>
      <c r="H20" t="s">
        <v>117</v>
      </c>
      <c r="I20">
        <v>1</v>
      </c>
      <c r="J20">
        <v>42.99</v>
      </c>
      <c r="K20">
        <v>0</v>
      </c>
      <c r="L20">
        <v>3.99</v>
      </c>
      <c r="M20" t="s">
        <v>21</v>
      </c>
      <c r="N20" t="s">
        <v>22</v>
      </c>
    </row>
    <row r="21" spans="1:14" x14ac:dyDescent="0.3">
      <c r="A21" t="s">
        <v>118</v>
      </c>
      <c r="B21" s="1">
        <v>45342</v>
      </c>
      <c r="C21" t="s">
        <v>119</v>
      </c>
      <c r="D21" t="s">
        <v>120</v>
      </c>
      <c r="E21" t="s">
        <v>40</v>
      </c>
      <c r="F21" t="s">
        <v>121</v>
      </c>
      <c r="G21" t="s">
        <v>19</v>
      </c>
      <c r="H21" t="s">
        <v>122</v>
      </c>
      <c r="I21">
        <v>6</v>
      </c>
      <c r="J21">
        <v>9.99</v>
      </c>
      <c r="K21">
        <v>15</v>
      </c>
      <c r="L21">
        <v>2.99</v>
      </c>
      <c r="M21" t="s">
        <v>30</v>
      </c>
      <c r="N21" t="s">
        <v>61</v>
      </c>
    </row>
    <row r="22" spans="1:14" x14ac:dyDescent="0.3">
      <c r="A22" t="s">
        <v>123</v>
      </c>
      <c r="B22" s="1">
        <v>45344</v>
      </c>
      <c r="C22" t="s">
        <v>124</v>
      </c>
      <c r="D22" t="s">
        <v>125</v>
      </c>
      <c r="E22" t="s">
        <v>17</v>
      </c>
      <c r="F22" t="s">
        <v>70</v>
      </c>
      <c r="G22" t="s">
        <v>28</v>
      </c>
      <c r="H22" t="s">
        <v>126</v>
      </c>
      <c r="I22">
        <v>1</v>
      </c>
      <c r="J22">
        <v>39.99</v>
      </c>
      <c r="K22">
        <v>10</v>
      </c>
      <c r="L22">
        <v>5.99</v>
      </c>
      <c r="M22" t="s">
        <v>21</v>
      </c>
      <c r="N22" t="s">
        <v>22</v>
      </c>
    </row>
    <row r="23" spans="1:14" x14ac:dyDescent="0.3">
      <c r="A23" t="s">
        <v>127</v>
      </c>
      <c r="B23" s="1">
        <v>45347</v>
      </c>
      <c r="C23" t="s">
        <v>128</v>
      </c>
      <c r="D23" t="s">
        <v>129</v>
      </c>
      <c r="E23" t="s">
        <v>26</v>
      </c>
      <c r="F23" t="s">
        <v>53</v>
      </c>
      <c r="G23" t="s">
        <v>42</v>
      </c>
      <c r="H23" t="s">
        <v>130</v>
      </c>
      <c r="I23">
        <v>1</v>
      </c>
      <c r="J23">
        <v>89.99</v>
      </c>
      <c r="K23">
        <v>25</v>
      </c>
      <c r="L23">
        <v>9.99</v>
      </c>
      <c r="M23" t="s">
        <v>44</v>
      </c>
      <c r="N23" t="s">
        <v>22</v>
      </c>
    </row>
    <row r="24" spans="1:14" x14ac:dyDescent="0.3">
      <c r="A24" t="s">
        <v>131</v>
      </c>
      <c r="B24" s="1">
        <v>45350</v>
      </c>
      <c r="C24" t="s">
        <v>132</v>
      </c>
      <c r="D24" t="s">
        <v>133</v>
      </c>
      <c r="E24" t="s">
        <v>34</v>
      </c>
      <c r="F24" t="s">
        <v>18</v>
      </c>
      <c r="G24" t="s">
        <v>19</v>
      </c>
      <c r="H24" t="s">
        <v>134</v>
      </c>
      <c r="I24">
        <v>1</v>
      </c>
      <c r="J24">
        <v>199.99</v>
      </c>
      <c r="K24">
        <v>15</v>
      </c>
      <c r="L24">
        <v>10.99</v>
      </c>
      <c r="M24" t="s">
        <v>21</v>
      </c>
      <c r="N24" t="s">
        <v>72</v>
      </c>
    </row>
    <row r="25" spans="1:14" x14ac:dyDescent="0.3">
      <c r="A25" t="s">
        <v>135</v>
      </c>
      <c r="B25" s="1">
        <v>45352</v>
      </c>
      <c r="C25" t="s">
        <v>136</v>
      </c>
      <c r="D25" t="s">
        <v>137</v>
      </c>
      <c r="E25" t="s">
        <v>40</v>
      </c>
      <c r="F25" t="s">
        <v>41</v>
      </c>
      <c r="G25" t="s">
        <v>59</v>
      </c>
      <c r="H25" t="s">
        <v>138</v>
      </c>
      <c r="I25">
        <v>3</v>
      </c>
      <c r="J25">
        <v>29.99</v>
      </c>
      <c r="K25">
        <v>5</v>
      </c>
      <c r="L25">
        <v>4.5</v>
      </c>
      <c r="M25" t="s">
        <v>30</v>
      </c>
      <c r="N25" t="s">
        <v>22</v>
      </c>
    </row>
    <row r="26" spans="1:14" x14ac:dyDescent="0.3">
      <c r="A26" t="s">
        <v>139</v>
      </c>
      <c r="B26" s="1">
        <v>45354</v>
      </c>
      <c r="C26" t="s">
        <v>140</v>
      </c>
      <c r="D26" t="s">
        <v>141</v>
      </c>
      <c r="E26" t="s">
        <v>17</v>
      </c>
      <c r="F26" t="s">
        <v>90</v>
      </c>
      <c r="G26" t="s">
        <v>28</v>
      </c>
      <c r="H26" t="s">
        <v>142</v>
      </c>
      <c r="I26">
        <v>2</v>
      </c>
      <c r="J26">
        <v>54.99</v>
      </c>
      <c r="K26">
        <v>0</v>
      </c>
      <c r="L26">
        <v>8.5</v>
      </c>
      <c r="M26" t="s">
        <v>21</v>
      </c>
      <c r="N26" t="s">
        <v>22</v>
      </c>
    </row>
    <row r="27" spans="1:14" x14ac:dyDescent="0.3">
      <c r="A27" t="s">
        <v>143</v>
      </c>
      <c r="B27" s="1">
        <v>45356</v>
      </c>
      <c r="C27" t="s">
        <v>144</v>
      </c>
      <c r="D27" t="s">
        <v>145</v>
      </c>
      <c r="E27" t="s">
        <v>26</v>
      </c>
      <c r="F27" t="s">
        <v>76</v>
      </c>
      <c r="G27" t="s">
        <v>19</v>
      </c>
      <c r="H27" t="s">
        <v>146</v>
      </c>
      <c r="I27">
        <v>4</v>
      </c>
      <c r="J27">
        <v>19.989999999999998</v>
      </c>
      <c r="K27">
        <v>10</v>
      </c>
      <c r="L27">
        <v>3.99</v>
      </c>
      <c r="M27" t="s">
        <v>44</v>
      </c>
      <c r="N27" t="s">
        <v>22</v>
      </c>
    </row>
    <row r="28" spans="1:14" x14ac:dyDescent="0.3">
      <c r="A28" t="s">
        <v>147</v>
      </c>
      <c r="B28" s="1">
        <v>45359</v>
      </c>
      <c r="C28" t="s">
        <v>148</v>
      </c>
      <c r="D28" t="s">
        <v>149</v>
      </c>
      <c r="E28" t="s">
        <v>34</v>
      </c>
      <c r="F28" t="s">
        <v>35</v>
      </c>
      <c r="G28" t="s">
        <v>42</v>
      </c>
      <c r="H28" t="s">
        <v>150</v>
      </c>
      <c r="I28">
        <v>2</v>
      </c>
      <c r="J28">
        <v>39.99</v>
      </c>
      <c r="K28">
        <v>20</v>
      </c>
      <c r="L28">
        <v>6.99</v>
      </c>
      <c r="M28" t="s">
        <v>21</v>
      </c>
      <c r="N28" t="s">
        <v>22</v>
      </c>
    </row>
    <row r="29" spans="1:14" x14ac:dyDescent="0.3">
      <c r="A29" t="s">
        <v>151</v>
      </c>
      <c r="B29" s="1">
        <v>45361</v>
      </c>
      <c r="C29" t="s">
        <v>152</v>
      </c>
      <c r="D29" t="s">
        <v>153</v>
      </c>
      <c r="E29" t="s">
        <v>40</v>
      </c>
      <c r="F29" t="s">
        <v>85</v>
      </c>
      <c r="G29" t="s">
        <v>59</v>
      </c>
      <c r="H29" t="s">
        <v>154</v>
      </c>
      <c r="I29">
        <v>1</v>
      </c>
      <c r="J29">
        <v>24.99</v>
      </c>
      <c r="K29">
        <v>0</v>
      </c>
      <c r="L29">
        <v>3.5</v>
      </c>
      <c r="M29" t="s">
        <v>30</v>
      </c>
      <c r="N29" t="s">
        <v>22</v>
      </c>
    </row>
    <row r="30" spans="1:14" x14ac:dyDescent="0.3">
      <c r="A30" t="s">
        <v>155</v>
      </c>
      <c r="B30" s="1">
        <v>45363</v>
      </c>
      <c r="C30" t="s">
        <v>156</v>
      </c>
      <c r="D30" t="s">
        <v>157</v>
      </c>
      <c r="E30" t="s">
        <v>17</v>
      </c>
      <c r="F30" t="s">
        <v>48</v>
      </c>
      <c r="G30" t="s">
        <v>19</v>
      </c>
      <c r="H30" t="s">
        <v>158</v>
      </c>
      <c r="I30">
        <v>1</v>
      </c>
      <c r="J30">
        <v>119.99</v>
      </c>
      <c r="K30">
        <v>15</v>
      </c>
      <c r="L30">
        <v>9.99</v>
      </c>
      <c r="M30" t="s">
        <v>21</v>
      </c>
      <c r="N30" t="s">
        <v>22</v>
      </c>
    </row>
    <row r="31" spans="1:14" x14ac:dyDescent="0.3">
      <c r="A31" t="s">
        <v>159</v>
      </c>
      <c r="B31" s="1">
        <v>45366</v>
      </c>
      <c r="C31" t="s">
        <v>160</v>
      </c>
      <c r="D31" t="s">
        <v>161</v>
      </c>
      <c r="E31" t="s">
        <v>26</v>
      </c>
      <c r="F31" t="s">
        <v>95</v>
      </c>
      <c r="G31" t="s">
        <v>28</v>
      </c>
      <c r="H31" t="s">
        <v>162</v>
      </c>
      <c r="I31">
        <v>5</v>
      </c>
      <c r="J31">
        <v>14.99</v>
      </c>
      <c r="K31">
        <v>5</v>
      </c>
      <c r="L31">
        <v>4.99</v>
      </c>
      <c r="M31" t="s">
        <v>44</v>
      </c>
      <c r="N31" t="s">
        <v>72</v>
      </c>
    </row>
    <row r="32" spans="1:14" x14ac:dyDescent="0.3">
      <c r="A32" t="s">
        <v>163</v>
      </c>
      <c r="B32" s="1">
        <v>45369</v>
      </c>
      <c r="C32" t="s">
        <v>164</v>
      </c>
      <c r="D32" t="s">
        <v>165</v>
      </c>
      <c r="E32" t="s">
        <v>34</v>
      </c>
      <c r="F32" t="s">
        <v>58</v>
      </c>
      <c r="G32" t="s">
        <v>42</v>
      </c>
      <c r="H32" t="s">
        <v>166</v>
      </c>
      <c r="I32">
        <v>3</v>
      </c>
      <c r="J32">
        <v>24.99</v>
      </c>
      <c r="K32">
        <v>10</v>
      </c>
      <c r="L32">
        <v>5.5</v>
      </c>
      <c r="M32" t="s">
        <v>30</v>
      </c>
      <c r="N32" t="s">
        <v>22</v>
      </c>
    </row>
    <row r="33" spans="1:14" x14ac:dyDescent="0.3">
      <c r="A33" t="s">
        <v>167</v>
      </c>
      <c r="B33" s="1">
        <v>45371</v>
      </c>
      <c r="C33" t="s">
        <v>168</v>
      </c>
      <c r="D33" t="s">
        <v>169</v>
      </c>
      <c r="E33" t="s">
        <v>40</v>
      </c>
      <c r="F33" t="s">
        <v>65</v>
      </c>
      <c r="G33" t="s">
        <v>19</v>
      </c>
      <c r="H33" t="s">
        <v>170</v>
      </c>
      <c r="I33">
        <v>2</v>
      </c>
      <c r="J33">
        <v>79.989999999999995</v>
      </c>
      <c r="K33">
        <v>20</v>
      </c>
      <c r="L33">
        <v>8.5</v>
      </c>
      <c r="M33" t="s">
        <v>21</v>
      </c>
      <c r="N33" t="s">
        <v>22</v>
      </c>
    </row>
    <row r="34" spans="1:14" x14ac:dyDescent="0.3">
      <c r="A34" t="s">
        <v>171</v>
      </c>
      <c r="B34" s="1">
        <v>45373</v>
      </c>
      <c r="C34" t="s">
        <v>172</v>
      </c>
      <c r="D34" t="s">
        <v>173</v>
      </c>
      <c r="E34" t="s">
        <v>17</v>
      </c>
      <c r="F34" t="s">
        <v>70</v>
      </c>
      <c r="G34" t="s">
        <v>59</v>
      </c>
      <c r="H34" t="s">
        <v>174</v>
      </c>
      <c r="I34">
        <v>1</v>
      </c>
      <c r="J34">
        <v>49.99</v>
      </c>
      <c r="K34">
        <v>0</v>
      </c>
      <c r="L34">
        <v>4.99</v>
      </c>
      <c r="M34" t="s">
        <v>44</v>
      </c>
      <c r="N34" t="s">
        <v>22</v>
      </c>
    </row>
    <row r="35" spans="1:14" x14ac:dyDescent="0.3">
      <c r="A35" t="s">
        <v>175</v>
      </c>
      <c r="B35" s="1">
        <v>45376</v>
      </c>
      <c r="C35" t="s">
        <v>176</v>
      </c>
      <c r="D35" t="s">
        <v>177</v>
      </c>
      <c r="E35" t="s">
        <v>26</v>
      </c>
      <c r="F35" t="s">
        <v>27</v>
      </c>
      <c r="G35" t="s">
        <v>28</v>
      </c>
      <c r="H35" t="s">
        <v>178</v>
      </c>
      <c r="I35">
        <v>2</v>
      </c>
      <c r="J35">
        <v>59.99</v>
      </c>
      <c r="K35">
        <v>15</v>
      </c>
      <c r="L35">
        <v>7.99</v>
      </c>
      <c r="M35" t="s">
        <v>21</v>
      </c>
      <c r="N35" t="s">
        <v>22</v>
      </c>
    </row>
    <row r="36" spans="1:14" x14ac:dyDescent="0.3">
      <c r="A36" t="s">
        <v>179</v>
      </c>
      <c r="B36" s="1">
        <v>45379</v>
      </c>
      <c r="C36" t="s">
        <v>180</v>
      </c>
      <c r="D36" t="s">
        <v>181</v>
      </c>
      <c r="E36" t="s">
        <v>34</v>
      </c>
      <c r="F36" t="s">
        <v>18</v>
      </c>
      <c r="G36" t="s">
        <v>19</v>
      </c>
      <c r="H36" t="s">
        <v>182</v>
      </c>
      <c r="I36">
        <v>1</v>
      </c>
      <c r="J36">
        <v>69.989999999999995</v>
      </c>
      <c r="K36">
        <v>10</v>
      </c>
      <c r="L36">
        <v>6.5</v>
      </c>
      <c r="M36" t="s">
        <v>30</v>
      </c>
      <c r="N36" t="s">
        <v>61</v>
      </c>
    </row>
    <row r="37" spans="1:14" x14ac:dyDescent="0.3">
      <c r="A37" t="s">
        <v>183</v>
      </c>
      <c r="B37" s="1">
        <v>45383</v>
      </c>
      <c r="C37" t="s">
        <v>184</v>
      </c>
      <c r="D37" t="s">
        <v>185</v>
      </c>
      <c r="E37" t="s">
        <v>40</v>
      </c>
      <c r="F37" t="s">
        <v>104</v>
      </c>
      <c r="G37" t="s">
        <v>42</v>
      </c>
      <c r="H37" t="s">
        <v>186</v>
      </c>
      <c r="I37">
        <v>2</v>
      </c>
      <c r="J37">
        <v>49.99</v>
      </c>
      <c r="K37">
        <v>25</v>
      </c>
      <c r="L37">
        <v>7.5</v>
      </c>
      <c r="M37" t="s">
        <v>21</v>
      </c>
      <c r="N37" t="s">
        <v>22</v>
      </c>
    </row>
    <row r="38" spans="1:14" x14ac:dyDescent="0.3">
      <c r="A38" t="s">
        <v>187</v>
      </c>
      <c r="B38" s="1">
        <v>45385</v>
      </c>
      <c r="C38" t="s">
        <v>188</v>
      </c>
      <c r="D38" t="s">
        <v>189</v>
      </c>
      <c r="E38" t="s">
        <v>17</v>
      </c>
      <c r="F38" t="s">
        <v>90</v>
      </c>
      <c r="G38" t="s">
        <v>59</v>
      </c>
      <c r="H38" t="s">
        <v>190</v>
      </c>
      <c r="I38">
        <v>1</v>
      </c>
      <c r="J38">
        <v>34.99</v>
      </c>
      <c r="K38">
        <v>5</v>
      </c>
      <c r="L38">
        <v>3.99</v>
      </c>
      <c r="M38" t="s">
        <v>44</v>
      </c>
      <c r="N38" t="s">
        <v>22</v>
      </c>
    </row>
    <row r="39" spans="1:14" x14ac:dyDescent="0.3">
      <c r="A39" t="s">
        <v>191</v>
      </c>
      <c r="B39" s="1">
        <v>45387</v>
      </c>
      <c r="C39" t="s">
        <v>192</v>
      </c>
      <c r="D39" t="s">
        <v>193</v>
      </c>
      <c r="E39" t="s">
        <v>26</v>
      </c>
      <c r="F39" t="s">
        <v>53</v>
      </c>
      <c r="G39" t="s">
        <v>19</v>
      </c>
      <c r="H39" t="s">
        <v>194</v>
      </c>
      <c r="I39">
        <v>3</v>
      </c>
      <c r="J39">
        <v>29.99</v>
      </c>
      <c r="K39">
        <v>0</v>
      </c>
      <c r="L39">
        <v>5.99</v>
      </c>
      <c r="M39" t="s">
        <v>30</v>
      </c>
      <c r="N39" t="s">
        <v>22</v>
      </c>
    </row>
    <row r="40" spans="1:14" x14ac:dyDescent="0.3">
      <c r="A40" t="s">
        <v>195</v>
      </c>
      <c r="B40" s="1">
        <v>45390</v>
      </c>
      <c r="C40" t="s">
        <v>196</v>
      </c>
      <c r="D40" t="s">
        <v>197</v>
      </c>
      <c r="E40" t="s">
        <v>34</v>
      </c>
      <c r="F40" t="s">
        <v>35</v>
      </c>
      <c r="G40" t="s">
        <v>28</v>
      </c>
      <c r="H40" t="s">
        <v>198</v>
      </c>
      <c r="I40">
        <v>4</v>
      </c>
      <c r="J40">
        <v>19.989999999999998</v>
      </c>
      <c r="K40">
        <v>10</v>
      </c>
      <c r="L40">
        <v>4.5</v>
      </c>
      <c r="M40" t="s">
        <v>21</v>
      </c>
      <c r="N40" t="s">
        <v>72</v>
      </c>
    </row>
    <row r="41" spans="1:14" x14ac:dyDescent="0.3">
      <c r="A41" t="s">
        <v>199</v>
      </c>
      <c r="B41" s="1">
        <v>45392</v>
      </c>
      <c r="C41" t="s">
        <v>200</v>
      </c>
      <c r="D41" t="s">
        <v>201</v>
      </c>
      <c r="E41" t="s">
        <v>40</v>
      </c>
      <c r="F41" t="s">
        <v>41</v>
      </c>
      <c r="G41" t="s">
        <v>42</v>
      </c>
      <c r="H41" t="s">
        <v>202</v>
      </c>
      <c r="I41">
        <v>2</v>
      </c>
      <c r="J41">
        <v>39.99</v>
      </c>
      <c r="K41">
        <v>20</v>
      </c>
      <c r="L41">
        <v>6.99</v>
      </c>
      <c r="M41" t="s">
        <v>44</v>
      </c>
      <c r="N41" t="s">
        <v>22</v>
      </c>
    </row>
    <row r="42" spans="1:14" x14ac:dyDescent="0.3">
      <c r="A42" t="s">
        <v>203</v>
      </c>
      <c r="B42" s="1">
        <v>45394</v>
      </c>
      <c r="C42" t="s">
        <v>204</v>
      </c>
      <c r="D42" t="s">
        <v>205</v>
      </c>
      <c r="E42" t="s">
        <v>17</v>
      </c>
      <c r="F42" t="s">
        <v>48</v>
      </c>
      <c r="G42" t="s">
        <v>19</v>
      </c>
      <c r="H42" t="s">
        <v>206</v>
      </c>
      <c r="I42">
        <v>2</v>
      </c>
      <c r="J42">
        <v>44.99</v>
      </c>
      <c r="K42">
        <v>15</v>
      </c>
      <c r="L42">
        <v>5.5</v>
      </c>
      <c r="M42" t="s">
        <v>21</v>
      </c>
      <c r="N42" t="s">
        <v>22</v>
      </c>
    </row>
    <row r="43" spans="1:14" x14ac:dyDescent="0.3">
      <c r="A43" t="s">
        <v>207</v>
      </c>
      <c r="B43" s="1">
        <v>45397</v>
      </c>
      <c r="C43" t="s">
        <v>208</v>
      </c>
      <c r="D43" t="s">
        <v>209</v>
      </c>
      <c r="E43" t="s">
        <v>26</v>
      </c>
      <c r="F43" t="s">
        <v>76</v>
      </c>
      <c r="G43" t="s">
        <v>59</v>
      </c>
      <c r="H43" t="s">
        <v>210</v>
      </c>
      <c r="I43">
        <v>1</v>
      </c>
      <c r="J43">
        <v>44.99</v>
      </c>
      <c r="K43">
        <v>0</v>
      </c>
      <c r="L43">
        <v>4.5</v>
      </c>
      <c r="M43" t="s">
        <v>30</v>
      </c>
      <c r="N43" t="s">
        <v>22</v>
      </c>
    </row>
    <row r="44" spans="1:14" x14ac:dyDescent="0.3">
      <c r="A44" t="s">
        <v>211</v>
      </c>
      <c r="B44" s="1">
        <v>45400</v>
      </c>
      <c r="C44" t="s">
        <v>212</v>
      </c>
      <c r="D44" t="s">
        <v>213</v>
      </c>
      <c r="E44" t="s">
        <v>34</v>
      </c>
      <c r="F44" t="s">
        <v>58</v>
      </c>
      <c r="G44" t="s">
        <v>28</v>
      </c>
      <c r="H44" t="s">
        <v>214</v>
      </c>
      <c r="I44">
        <v>3</v>
      </c>
      <c r="J44">
        <v>24.99</v>
      </c>
      <c r="K44">
        <v>5</v>
      </c>
      <c r="L44">
        <v>6.5</v>
      </c>
      <c r="M44" t="s">
        <v>21</v>
      </c>
      <c r="N44" t="s">
        <v>22</v>
      </c>
    </row>
    <row r="45" spans="1:14" x14ac:dyDescent="0.3">
      <c r="A45" t="s">
        <v>215</v>
      </c>
      <c r="B45" s="1">
        <v>45402</v>
      </c>
      <c r="C45" t="s">
        <v>216</v>
      </c>
      <c r="D45" t="s">
        <v>217</v>
      </c>
      <c r="E45" t="s">
        <v>40</v>
      </c>
      <c r="F45" t="s">
        <v>121</v>
      </c>
      <c r="G45" t="s">
        <v>19</v>
      </c>
      <c r="H45" t="s">
        <v>218</v>
      </c>
      <c r="I45">
        <v>1</v>
      </c>
      <c r="J45">
        <v>39.99</v>
      </c>
      <c r="K45">
        <v>10</v>
      </c>
      <c r="L45">
        <v>5.99</v>
      </c>
      <c r="M45" t="s">
        <v>44</v>
      </c>
      <c r="N45" t="s">
        <v>22</v>
      </c>
    </row>
    <row r="46" spans="1:14" x14ac:dyDescent="0.3">
      <c r="A46" t="s">
        <v>219</v>
      </c>
      <c r="B46" s="1">
        <v>45404</v>
      </c>
      <c r="C46" t="s">
        <v>220</v>
      </c>
      <c r="D46" t="s">
        <v>221</v>
      </c>
      <c r="E46" t="s">
        <v>17</v>
      </c>
      <c r="F46" t="s">
        <v>70</v>
      </c>
      <c r="G46" t="s">
        <v>42</v>
      </c>
      <c r="H46" t="s">
        <v>222</v>
      </c>
      <c r="I46">
        <v>2</v>
      </c>
      <c r="J46">
        <v>54.99</v>
      </c>
      <c r="K46">
        <v>20</v>
      </c>
      <c r="L46">
        <v>7.99</v>
      </c>
      <c r="M46" t="s">
        <v>30</v>
      </c>
      <c r="N46" t="s">
        <v>72</v>
      </c>
    </row>
    <row r="47" spans="1:14" x14ac:dyDescent="0.3">
      <c r="A47" t="s">
        <v>223</v>
      </c>
      <c r="B47" s="1">
        <v>45407</v>
      </c>
      <c r="C47" t="s">
        <v>224</v>
      </c>
      <c r="D47" t="s">
        <v>225</v>
      </c>
      <c r="E47" t="s">
        <v>26</v>
      </c>
      <c r="F47" t="s">
        <v>95</v>
      </c>
      <c r="G47" t="s">
        <v>59</v>
      </c>
      <c r="H47" t="s">
        <v>226</v>
      </c>
      <c r="I47">
        <v>2</v>
      </c>
      <c r="J47">
        <v>29.99</v>
      </c>
      <c r="K47">
        <v>15</v>
      </c>
      <c r="L47">
        <v>4.99</v>
      </c>
      <c r="M47" t="s">
        <v>21</v>
      </c>
      <c r="N47" t="s">
        <v>22</v>
      </c>
    </row>
    <row r="48" spans="1:14" x14ac:dyDescent="0.3">
      <c r="A48" t="s">
        <v>227</v>
      </c>
      <c r="B48" s="1">
        <v>45410</v>
      </c>
      <c r="C48" t="s">
        <v>228</v>
      </c>
      <c r="D48" t="s">
        <v>229</v>
      </c>
      <c r="E48" t="s">
        <v>34</v>
      </c>
      <c r="F48" t="s">
        <v>18</v>
      </c>
      <c r="G48" t="s">
        <v>19</v>
      </c>
      <c r="H48" t="s">
        <v>230</v>
      </c>
      <c r="I48">
        <v>1</v>
      </c>
      <c r="J48">
        <v>34.99</v>
      </c>
      <c r="K48">
        <v>0</v>
      </c>
      <c r="L48">
        <v>4.5</v>
      </c>
      <c r="M48" t="s">
        <v>44</v>
      </c>
      <c r="N48" t="s">
        <v>22</v>
      </c>
    </row>
    <row r="49" spans="1:14" x14ac:dyDescent="0.3">
      <c r="A49" t="s">
        <v>231</v>
      </c>
      <c r="B49" s="1">
        <v>45413</v>
      </c>
      <c r="C49" t="s">
        <v>232</v>
      </c>
      <c r="D49" t="s">
        <v>233</v>
      </c>
      <c r="E49" t="s">
        <v>40</v>
      </c>
      <c r="F49" t="s">
        <v>85</v>
      </c>
      <c r="G49" t="s">
        <v>28</v>
      </c>
      <c r="H49" t="s">
        <v>234</v>
      </c>
      <c r="I49">
        <v>2</v>
      </c>
      <c r="J49">
        <v>44.99</v>
      </c>
      <c r="K49">
        <v>10</v>
      </c>
      <c r="L49">
        <v>6.99</v>
      </c>
      <c r="M49" t="s">
        <v>21</v>
      </c>
      <c r="N49" t="s">
        <v>22</v>
      </c>
    </row>
    <row r="50" spans="1:14" x14ac:dyDescent="0.3">
      <c r="A50" t="s">
        <v>235</v>
      </c>
      <c r="B50" s="1">
        <v>45415</v>
      </c>
      <c r="C50" t="s">
        <v>236</v>
      </c>
      <c r="D50" t="s">
        <v>237</v>
      </c>
      <c r="E50" t="s">
        <v>17</v>
      </c>
      <c r="F50" t="s">
        <v>90</v>
      </c>
      <c r="G50" t="s">
        <v>42</v>
      </c>
      <c r="H50" t="s">
        <v>238</v>
      </c>
      <c r="I50">
        <v>1</v>
      </c>
      <c r="J50">
        <v>44.99</v>
      </c>
      <c r="K50">
        <v>25</v>
      </c>
      <c r="L50">
        <v>6.5</v>
      </c>
      <c r="M50" t="s">
        <v>30</v>
      </c>
      <c r="N50" t="s">
        <v>22</v>
      </c>
    </row>
    <row r="51" spans="1:14" x14ac:dyDescent="0.3">
      <c r="A51" t="s">
        <v>239</v>
      </c>
      <c r="B51" s="1">
        <v>45417</v>
      </c>
      <c r="C51" t="s">
        <v>240</v>
      </c>
      <c r="D51" t="s">
        <v>241</v>
      </c>
      <c r="E51" t="s">
        <v>26</v>
      </c>
      <c r="F51" t="s">
        <v>27</v>
      </c>
      <c r="G51" t="s">
        <v>19</v>
      </c>
      <c r="H51" t="s">
        <v>242</v>
      </c>
      <c r="I51">
        <v>3</v>
      </c>
      <c r="J51">
        <v>39.99</v>
      </c>
      <c r="K51">
        <v>5</v>
      </c>
      <c r="L51">
        <v>7.5</v>
      </c>
      <c r="M51" t="s">
        <v>21</v>
      </c>
      <c r="N51" t="s">
        <v>61</v>
      </c>
    </row>
    <row r="52" spans="1:14" x14ac:dyDescent="0.3">
      <c r="A52" t="s">
        <v>243</v>
      </c>
      <c r="B52" s="1">
        <v>45420</v>
      </c>
      <c r="C52" t="s">
        <v>244</v>
      </c>
      <c r="D52" t="s">
        <v>245</v>
      </c>
      <c r="E52" t="s">
        <v>34</v>
      </c>
      <c r="F52" t="s">
        <v>35</v>
      </c>
      <c r="G52" t="s">
        <v>59</v>
      </c>
      <c r="H52" t="s">
        <v>246</v>
      </c>
      <c r="I52">
        <v>1</v>
      </c>
      <c r="J52">
        <v>39.99</v>
      </c>
      <c r="K52">
        <v>0</v>
      </c>
      <c r="L52">
        <v>3.99</v>
      </c>
      <c r="M52" t="s">
        <v>44</v>
      </c>
      <c r="N52" t="s">
        <v>22</v>
      </c>
    </row>
    <row r="53" spans="1:14" x14ac:dyDescent="0.3">
      <c r="A53" t="s">
        <v>247</v>
      </c>
      <c r="B53" s="1">
        <v>45422</v>
      </c>
      <c r="C53" t="s">
        <v>248</v>
      </c>
      <c r="D53" t="s">
        <v>249</v>
      </c>
      <c r="E53" t="s">
        <v>40</v>
      </c>
      <c r="F53" t="s">
        <v>65</v>
      </c>
      <c r="G53" t="s">
        <v>28</v>
      </c>
      <c r="H53" t="s">
        <v>250</v>
      </c>
      <c r="I53">
        <v>2</v>
      </c>
      <c r="J53">
        <v>79.989999999999995</v>
      </c>
      <c r="K53">
        <v>15</v>
      </c>
      <c r="L53">
        <v>9.99</v>
      </c>
      <c r="M53" t="s">
        <v>30</v>
      </c>
      <c r="N53" t="s">
        <v>22</v>
      </c>
    </row>
    <row r="54" spans="1:14" x14ac:dyDescent="0.3">
      <c r="A54" t="s">
        <v>251</v>
      </c>
      <c r="B54" s="1">
        <v>45424</v>
      </c>
      <c r="C54" t="s">
        <v>252</v>
      </c>
      <c r="D54" t="s">
        <v>253</v>
      </c>
      <c r="E54" t="s">
        <v>17</v>
      </c>
      <c r="F54" t="s">
        <v>48</v>
      </c>
      <c r="G54" t="s">
        <v>19</v>
      </c>
      <c r="H54" t="s">
        <v>254</v>
      </c>
      <c r="I54">
        <v>5</v>
      </c>
      <c r="J54">
        <v>14.99</v>
      </c>
      <c r="K54">
        <v>10</v>
      </c>
      <c r="L54">
        <v>2.99</v>
      </c>
      <c r="M54" t="s">
        <v>21</v>
      </c>
      <c r="N54" t="s">
        <v>72</v>
      </c>
    </row>
    <row r="55" spans="1:14" x14ac:dyDescent="0.3">
      <c r="A55" t="s">
        <v>255</v>
      </c>
      <c r="B55" s="1">
        <v>45427</v>
      </c>
      <c r="C55" t="s">
        <v>256</v>
      </c>
      <c r="D55" t="s">
        <v>257</v>
      </c>
      <c r="E55" t="s">
        <v>26</v>
      </c>
      <c r="F55" t="s">
        <v>53</v>
      </c>
      <c r="G55" t="s">
        <v>42</v>
      </c>
      <c r="H55" t="s">
        <v>258</v>
      </c>
      <c r="I55">
        <v>1</v>
      </c>
      <c r="J55">
        <v>64.989999999999995</v>
      </c>
      <c r="K55">
        <v>20</v>
      </c>
      <c r="L55">
        <v>7.99</v>
      </c>
      <c r="M55" t="s">
        <v>44</v>
      </c>
      <c r="N55" t="s">
        <v>22</v>
      </c>
    </row>
    <row r="56" spans="1:14" x14ac:dyDescent="0.3">
      <c r="A56" t="s">
        <v>259</v>
      </c>
      <c r="B56" s="1">
        <v>45430</v>
      </c>
      <c r="C56" t="s">
        <v>260</v>
      </c>
      <c r="D56" t="s">
        <v>261</v>
      </c>
      <c r="E56" t="s">
        <v>34</v>
      </c>
      <c r="F56" t="s">
        <v>58</v>
      </c>
      <c r="G56" t="s">
        <v>59</v>
      </c>
      <c r="H56" t="s">
        <v>262</v>
      </c>
      <c r="I56">
        <v>2</v>
      </c>
      <c r="J56">
        <v>34.99</v>
      </c>
      <c r="K56">
        <v>0</v>
      </c>
      <c r="L56">
        <v>4.5</v>
      </c>
      <c r="M56" t="s">
        <v>21</v>
      </c>
      <c r="N56" t="s">
        <v>22</v>
      </c>
    </row>
    <row r="57" spans="1:14" x14ac:dyDescent="0.3">
      <c r="A57" t="s">
        <v>263</v>
      </c>
      <c r="B57" s="1">
        <v>45432</v>
      </c>
      <c r="C57" t="s">
        <v>264</v>
      </c>
      <c r="D57" t="s">
        <v>265</v>
      </c>
      <c r="E57" t="s">
        <v>40</v>
      </c>
      <c r="F57" t="s">
        <v>104</v>
      </c>
      <c r="G57" t="s">
        <v>19</v>
      </c>
      <c r="H57" t="s">
        <v>266</v>
      </c>
      <c r="I57">
        <v>1</v>
      </c>
      <c r="J57">
        <v>149.99</v>
      </c>
      <c r="K57">
        <v>15</v>
      </c>
      <c r="L57">
        <v>12.99</v>
      </c>
      <c r="M57" t="s">
        <v>30</v>
      </c>
      <c r="N57" t="s">
        <v>22</v>
      </c>
    </row>
    <row r="58" spans="1:14" x14ac:dyDescent="0.3">
      <c r="A58" t="s">
        <v>267</v>
      </c>
      <c r="B58" s="1">
        <v>45434</v>
      </c>
      <c r="C58" t="s">
        <v>268</v>
      </c>
      <c r="D58" t="s">
        <v>269</v>
      </c>
      <c r="E58" t="s">
        <v>17</v>
      </c>
      <c r="F58" t="s">
        <v>70</v>
      </c>
      <c r="G58" t="s">
        <v>28</v>
      </c>
      <c r="H58" t="s">
        <v>270</v>
      </c>
      <c r="I58">
        <v>3</v>
      </c>
      <c r="J58">
        <v>29.99</v>
      </c>
      <c r="K58">
        <v>5</v>
      </c>
      <c r="L58">
        <v>5.99</v>
      </c>
      <c r="M58" t="s">
        <v>21</v>
      </c>
      <c r="N58" t="s">
        <v>22</v>
      </c>
    </row>
    <row r="59" spans="1:14" x14ac:dyDescent="0.3">
      <c r="A59" t="s">
        <v>271</v>
      </c>
      <c r="B59" s="1">
        <v>45437</v>
      </c>
      <c r="C59" t="s">
        <v>272</v>
      </c>
      <c r="D59" t="s">
        <v>273</v>
      </c>
      <c r="E59" t="s">
        <v>26</v>
      </c>
      <c r="F59" t="s">
        <v>76</v>
      </c>
      <c r="G59" t="s">
        <v>42</v>
      </c>
      <c r="H59" t="s">
        <v>274</v>
      </c>
      <c r="I59">
        <v>2</v>
      </c>
      <c r="J59">
        <v>49.99</v>
      </c>
      <c r="K59">
        <v>25</v>
      </c>
      <c r="L59">
        <v>7.5</v>
      </c>
      <c r="M59" t="s">
        <v>44</v>
      </c>
      <c r="N59" t="s">
        <v>22</v>
      </c>
    </row>
    <row r="60" spans="1:14" x14ac:dyDescent="0.3">
      <c r="A60" t="s">
        <v>275</v>
      </c>
      <c r="B60" s="1">
        <v>45440</v>
      </c>
      <c r="C60" t="s">
        <v>276</v>
      </c>
      <c r="D60" t="s">
        <v>277</v>
      </c>
      <c r="E60" t="s">
        <v>34</v>
      </c>
      <c r="F60" t="s">
        <v>18</v>
      </c>
      <c r="G60" t="s">
        <v>19</v>
      </c>
      <c r="H60" t="s">
        <v>278</v>
      </c>
      <c r="I60">
        <v>4</v>
      </c>
      <c r="J60">
        <v>24.99</v>
      </c>
      <c r="K60">
        <v>10</v>
      </c>
      <c r="L60">
        <v>3.99</v>
      </c>
      <c r="M60" t="s">
        <v>30</v>
      </c>
      <c r="N60" t="s">
        <v>72</v>
      </c>
    </row>
    <row r="61" spans="1:14" x14ac:dyDescent="0.3">
      <c r="A61" t="s">
        <v>279</v>
      </c>
      <c r="B61" s="1">
        <v>45444</v>
      </c>
      <c r="C61" t="s">
        <v>280</v>
      </c>
      <c r="D61" t="s">
        <v>281</v>
      </c>
      <c r="E61" t="s">
        <v>40</v>
      </c>
      <c r="F61" t="s">
        <v>41</v>
      </c>
      <c r="G61" t="s">
        <v>59</v>
      </c>
      <c r="H61" t="s">
        <v>282</v>
      </c>
      <c r="I61">
        <v>1</v>
      </c>
      <c r="J61">
        <v>59.99</v>
      </c>
      <c r="K61">
        <v>0</v>
      </c>
      <c r="L61">
        <v>5.99</v>
      </c>
      <c r="M61" t="s">
        <v>21</v>
      </c>
      <c r="N61" t="s">
        <v>22</v>
      </c>
    </row>
    <row r="62" spans="1:14" x14ac:dyDescent="0.3">
      <c r="A62" t="s">
        <v>283</v>
      </c>
      <c r="B62" s="1">
        <v>45446</v>
      </c>
      <c r="C62" t="s">
        <v>284</v>
      </c>
      <c r="D62" t="s">
        <v>285</v>
      </c>
      <c r="E62" t="s">
        <v>17</v>
      </c>
      <c r="F62" t="s">
        <v>90</v>
      </c>
      <c r="G62" t="s">
        <v>28</v>
      </c>
      <c r="H62" t="s">
        <v>286</v>
      </c>
      <c r="I62">
        <v>1</v>
      </c>
      <c r="J62">
        <v>69.989999999999995</v>
      </c>
      <c r="K62">
        <v>15</v>
      </c>
      <c r="L62">
        <v>8.99</v>
      </c>
      <c r="M62" t="s">
        <v>44</v>
      </c>
      <c r="N62" t="s">
        <v>22</v>
      </c>
    </row>
    <row r="63" spans="1:14" x14ac:dyDescent="0.3">
      <c r="A63" t="s">
        <v>287</v>
      </c>
      <c r="B63" s="1">
        <v>45448</v>
      </c>
      <c r="C63" t="s">
        <v>288</v>
      </c>
      <c r="D63" t="s">
        <v>289</v>
      </c>
      <c r="E63" t="s">
        <v>26</v>
      </c>
      <c r="F63" t="s">
        <v>95</v>
      </c>
      <c r="G63" t="s">
        <v>19</v>
      </c>
      <c r="H63" t="s">
        <v>290</v>
      </c>
      <c r="I63">
        <v>3</v>
      </c>
      <c r="J63">
        <v>19.989999999999998</v>
      </c>
      <c r="K63">
        <v>20</v>
      </c>
      <c r="L63">
        <v>4.5</v>
      </c>
      <c r="M63" t="s">
        <v>21</v>
      </c>
      <c r="N63" t="s">
        <v>22</v>
      </c>
    </row>
    <row r="64" spans="1:14" x14ac:dyDescent="0.3">
      <c r="A64" t="s">
        <v>291</v>
      </c>
      <c r="B64" s="1">
        <v>45451</v>
      </c>
      <c r="C64" t="s">
        <v>292</v>
      </c>
      <c r="D64" t="s">
        <v>293</v>
      </c>
      <c r="E64" t="s">
        <v>34</v>
      </c>
      <c r="F64" t="s">
        <v>35</v>
      </c>
      <c r="G64" t="s">
        <v>42</v>
      </c>
      <c r="H64" t="s">
        <v>294</v>
      </c>
      <c r="I64">
        <v>2</v>
      </c>
      <c r="J64">
        <v>34.99</v>
      </c>
      <c r="K64">
        <v>0</v>
      </c>
      <c r="L64">
        <v>6.5</v>
      </c>
      <c r="M64" t="s">
        <v>30</v>
      </c>
      <c r="N64" t="s">
        <v>22</v>
      </c>
    </row>
    <row r="65" spans="1:14" x14ac:dyDescent="0.3">
      <c r="A65" t="s">
        <v>295</v>
      </c>
      <c r="B65" s="1">
        <v>45453</v>
      </c>
      <c r="C65" t="s">
        <v>296</v>
      </c>
      <c r="D65" t="s">
        <v>297</v>
      </c>
      <c r="E65" t="s">
        <v>40</v>
      </c>
      <c r="F65" t="s">
        <v>121</v>
      </c>
      <c r="G65" t="s">
        <v>59</v>
      </c>
      <c r="H65" t="s">
        <v>298</v>
      </c>
      <c r="I65">
        <v>1</v>
      </c>
      <c r="J65">
        <v>54.99</v>
      </c>
      <c r="K65">
        <v>10</v>
      </c>
      <c r="L65">
        <v>4.99</v>
      </c>
      <c r="M65" t="s">
        <v>21</v>
      </c>
      <c r="N65" t="s">
        <v>22</v>
      </c>
    </row>
    <row r="66" spans="1:14" x14ac:dyDescent="0.3">
      <c r="A66" t="s">
        <v>299</v>
      </c>
      <c r="B66" s="1">
        <v>45455</v>
      </c>
      <c r="C66" t="s">
        <v>300</v>
      </c>
      <c r="D66" t="s">
        <v>301</v>
      </c>
      <c r="E66" t="s">
        <v>17</v>
      </c>
      <c r="F66" t="s">
        <v>48</v>
      </c>
      <c r="G66" t="s">
        <v>19</v>
      </c>
      <c r="H66" t="s">
        <v>302</v>
      </c>
      <c r="I66">
        <v>6</v>
      </c>
      <c r="J66">
        <v>12.99</v>
      </c>
      <c r="K66">
        <v>5</v>
      </c>
      <c r="L66">
        <v>2.99</v>
      </c>
      <c r="M66" t="s">
        <v>44</v>
      </c>
      <c r="N66" t="s">
        <v>61</v>
      </c>
    </row>
    <row r="67" spans="1:14" x14ac:dyDescent="0.3">
      <c r="A67" t="s">
        <v>303</v>
      </c>
      <c r="B67" s="1">
        <v>45458</v>
      </c>
      <c r="C67" t="s">
        <v>304</v>
      </c>
      <c r="D67" t="s">
        <v>305</v>
      </c>
      <c r="E67" t="s">
        <v>26</v>
      </c>
      <c r="F67" t="s">
        <v>27</v>
      </c>
      <c r="G67" t="s">
        <v>28</v>
      </c>
      <c r="H67" t="s">
        <v>306</v>
      </c>
      <c r="I67">
        <v>2</v>
      </c>
      <c r="J67">
        <v>24.99</v>
      </c>
      <c r="K67">
        <v>15</v>
      </c>
      <c r="L67">
        <v>5.5</v>
      </c>
      <c r="M67" t="s">
        <v>30</v>
      </c>
      <c r="N67" t="s">
        <v>22</v>
      </c>
    </row>
    <row r="68" spans="1:14" x14ac:dyDescent="0.3">
      <c r="A68" t="s">
        <v>307</v>
      </c>
      <c r="B68" s="1">
        <v>45461</v>
      </c>
      <c r="C68" t="s">
        <v>308</v>
      </c>
      <c r="D68" t="s">
        <v>309</v>
      </c>
      <c r="E68" t="s">
        <v>34</v>
      </c>
      <c r="F68" t="s">
        <v>58</v>
      </c>
      <c r="G68" t="s">
        <v>42</v>
      </c>
      <c r="H68" t="s">
        <v>310</v>
      </c>
      <c r="I68">
        <v>3</v>
      </c>
      <c r="J68">
        <v>29.99</v>
      </c>
      <c r="K68">
        <v>25</v>
      </c>
      <c r="L68">
        <v>5.99</v>
      </c>
      <c r="M68" t="s">
        <v>21</v>
      </c>
      <c r="N68" t="s">
        <v>72</v>
      </c>
    </row>
    <row r="69" spans="1:14" x14ac:dyDescent="0.3">
      <c r="A69" t="s">
        <v>311</v>
      </c>
      <c r="B69" s="1">
        <v>45463</v>
      </c>
      <c r="C69" t="s">
        <v>312</v>
      </c>
      <c r="D69" t="s">
        <v>313</v>
      </c>
      <c r="E69" t="s">
        <v>40</v>
      </c>
      <c r="F69" t="s">
        <v>85</v>
      </c>
      <c r="G69" t="s">
        <v>19</v>
      </c>
      <c r="H69" t="s">
        <v>314</v>
      </c>
      <c r="I69">
        <v>1</v>
      </c>
      <c r="J69">
        <v>89.99</v>
      </c>
      <c r="K69">
        <v>20</v>
      </c>
      <c r="L69">
        <v>9.99</v>
      </c>
      <c r="M69" t="s">
        <v>44</v>
      </c>
      <c r="N69" t="s">
        <v>22</v>
      </c>
    </row>
    <row r="70" spans="1:14" x14ac:dyDescent="0.3">
      <c r="A70" t="s">
        <v>315</v>
      </c>
      <c r="B70" s="1">
        <v>45465</v>
      </c>
      <c r="C70" t="s">
        <v>316</v>
      </c>
      <c r="D70" t="s">
        <v>317</v>
      </c>
      <c r="E70" t="s">
        <v>17</v>
      </c>
      <c r="F70" t="s">
        <v>70</v>
      </c>
      <c r="G70" t="s">
        <v>59</v>
      </c>
      <c r="H70" t="s">
        <v>318</v>
      </c>
      <c r="I70">
        <v>1</v>
      </c>
      <c r="J70">
        <v>44.99</v>
      </c>
      <c r="K70">
        <v>0</v>
      </c>
      <c r="L70">
        <v>4.5</v>
      </c>
      <c r="M70" t="s">
        <v>21</v>
      </c>
      <c r="N70" t="s">
        <v>22</v>
      </c>
    </row>
    <row r="71" spans="1:14" x14ac:dyDescent="0.3">
      <c r="A71" t="s">
        <v>319</v>
      </c>
      <c r="B71" s="1">
        <v>45468</v>
      </c>
      <c r="C71" t="s">
        <v>320</v>
      </c>
      <c r="D71" t="s">
        <v>321</v>
      </c>
      <c r="E71" t="s">
        <v>26</v>
      </c>
      <c r="F71" t="s">
        <v>53</v>
      </c>
      <c r="G71" t="s">
        <v>28</v>
      </c>
      <c r="H71" t="s">
        <v>322</v>
      </c>
      <c r="I71">
        <v>2</v>
      </c>
      <c r="J71">
        <v>74.989999999999995</v>
      </c>
      <c r="K71">
        <v>10</v>
      </c>
      <c r="L71">
        <v>10.99</v>
      </c>
      <c r="M71" t="s">
        <v>30</v>
      </c>
      <c r="N71" t="s">
        <v>22</v>
      </c>
    </row>
    <row r="72" spans="1:14" x14ac:dyDescent="0.3">
      <c r="A72" t="s">
        <v>323</v>
      </c>
      <c r="B72" s="1">
        <v>45471</v>
      </c>
      <c r="C72" t="s">
        <v>324</v>
      </c>
      <c r="D72" t="s">
        <v>325</v>
      </c>
      <c r="E72" t="s">
        <v>34</v>
      </c>
      <c r="F72" t="s">
        <v>18</v>
      </c>
      <c r="G72" t="s">
        <v>19</v>
      </c>
      <c r="H72" t="s">
        <v>326</v>
      </c>
      <c r="I72">
        <v>4</v>
      </c>
      <c r="J72">
        <v>29.99</v>
      </c>
      <c r="K72">
        <v>15</v>
      </c>
      <c r="L72">
        <v>5.99</v>
      </c>
      <c r="M72" t="s">
        <v>21</v>
      </c>
      <c r="N72" t="s">
        <v>22</v>
      </c>
    </row>
    <row r="73" spans="1:14" x14ac:dyDescent="0.3">
      <c r="A73" t="s">
        <v>327</v>
      </c>
      <c r="B73" s="1">
        <v>45474</v>
      </c>
      <c r="C73" t="s">
        <v>328</v>
      </c>
      <c r="D73" t="s">
        <v>329</v>
      </c>
      <c r="E73" t="s">
        <v>40</v>
      </c>
      <c r="F73" t="s">
        <v>65</v>
      </c>
      <c r="G73" t="s">
        <v>42</v>
      </c>
      <c r="H73" t="s">
        <v>330</v>
      </c>
      <c r="I73">
        <v>1</v>
      </c>
      <c r="J73">
        <v>39.99</v>
      </c>
      <c r="K73">
        <v>5</v>
      </c>
      <c r="L73">
        <v>6.5</v>
      </c>
      <c r="M73" t="s">
        <v>44</v>
      </c>
      <c r="N73" t="s">
        <v>22</v>
      </c>
    </row>
    <row r="74" spans="1:14" x14ac:dyDescent="0.3">
      <c r="A74" t="s">
        <v>331</v>
      </c>
      <c r="B74" s="1">
        <v>45476</v>
      </c>
      <c r="C74" t="s">
        <v>332</v>
      </c>
      <c r="D74" t="s">
        <v>333</v>
      </c>
      <c r="E74" t="s">
        <v>17</v>
      </c>
      <c r="F74" t="s">
        <v>90</v>
      </c>
      <c r="G74" t="s">
        <v>59</v>
      </c>
      <c r="H74" t="s">
        <v>334</v>
      </c>
      <c r="I74">
        <v>2</v>
      </c>
      <c r="J74">
        <v>24.99</v>
      </c>
      <c r="K74">
        <v>0</v>
      </c>
      <c r="L74">
        <v>3.99</v>
      </c>
      <c r="M74" t="s">
        <v>30</v>
      </c>
      <c r="N74" t="s">
        <v>22</v>
      </c>
    </row>
    <row r="75" spans="1:14" x14ac:dyDescent="0.3">
      <c r="A75" t="s">
        <v>335</v>
      </c>
      <c r="B75" s="1">
        <v>45478</v>
      </c>
      <c r="C75" t="s">
        <v>336</v>
      </c>
      <c r="D75" t="s">
        <v>337</v>
      </c>
      <c r="E75" t="s">
        <v>26</v>
      </c>
      <c r="F75" t="s">
        <v>76</v>
      </c>
      <c r="G75" t="s">
        <v>19</v>
      </c>
      <c r="H75" t="s">
        <v>338</v>
      </c>
      <c r="I75">
        <v>1</v>
      </c>
      <c r="J75">
        <v>59.99</v>
      </c>
      <c r="K75">
        <v>20</v>
      </c>
      <c r="L75">
        <v>7.99</v>
      </c>
      <c r="M75" t="s">
        <v>21</v>
      </c>
      <c r="N75" t="s">
        <v>72</v>
      </c>
    </row>
    <row r="76" spans="1:14" x14ac:dyDescent="0.3">
      <c r="A76" t="s">
        <v>339</v>
      </c>
      <c r="B76" s="1">
        <v>45481</v>
      </c>
      <c r="C76" t="s">
        <v>340</v>
      </c>
      <c r="D76" t="s">
        <v>341</v>
      </c>
      <c r="E76" t="s">
        <v>34</v>
      </c>
      <c r="F76" t="s">
        <v>35</v>
      </c>
      <c r="G76" t="s">
        <v>28</v>
      </c>
      <c r="H76" t="s">
        <v>342</v>
      </c>
      <c r="I76">
        <v>2</v>
      </c>
      <c r="J76">
        <v>34.99</v>
      </c>
      <c r="K76">
        <v>10</v>
      </c>
      <c r="L76">
        <v>6.99</v>
      </c>
      <c r="M76" t="s">
        <v>44</v>
      </c>
      <c r="N76" t="s">
        <v>22</v>
      </c>
    </row>
    <row r="77" spans="1:14" x14ac:dyDescent="0.3">
      <c r="A77" t="s">
        <v>343</v>
      </c>
      <c r="B77" s="1">
        <v>45483</v>
      </c>
      <c r="C77" t="s">
        <v>344</v>
      </c>
      <c r="D77" t="s">
        <v>345</v>
      </c>
      <c r="E77" t="s">
        <v>40</v>
      </c>
      <c r="F77" t="s">
        <v>104</v>
      </c>
      <c r="G77" t="s">
        <v>42</v>
      </c>
      <c r="H77" t="s">
        <v>346</v>
      </c>
      <c r="I77">
        <v>3</v>
      </c>
      <c r="J77">
        <v>19.989999999999998</v>
      </c>
      <c r="K77">
        <v>25</v>
      </c>
      <c r="L77">
        <v>5.5</v>
      </c>
      <c r="M77" t="s">
        <v>21</v>
      </c>
      <c r="N77" t="s">
        <v>22</v>
      </c>
    </row>
    <row r="78" spans="1:14" x14ac:dyDescent="0.3">
      <c r="A78" t="s">
        <v>347</v>
      </c>
      <c r="B78" s="1">
        <v>45485</v>
      </c>
      <c r="C78" t="s">
        <v>348</v>
      </c>
      <c r="D78" t="s">
        <v>349</v>
      </c>
      <c r="E78" t="s">
        <v>17</v>
      </c>
      <c r="F78" t="s">
        <v>48</v>
      </c>
      <c r="G78" t="s">
        <v>19</v>
      </c>
      <c r="H78" t="s">
        <v>350</v>
      </c>
      <c r="I78">
        <v>5</v>
      </c>
      <c r="J78">
        <v>19.989999999999998</v>
      </c>
      <c r="K78">
        <v>15</v>
      </c>
      <c r="L78">
        <v>3.99</v>
      </c>
      <c r="M78" t="s">
        <v>30</v>
      </c>
      <c r="N78" t="s">
        <v>22</v>
      </c>
    </row>
    <row r="79" spans="1:14" x14ac:dyDescent="0.3">
      <c r="A79" t="s">
        <v>351</v>
      </c>
      <c r="B79" s="1">
        <v>45488</v>
      </c>
      <c r="C79" t="s">
        <v>352</v>
      </c>
      <c r="D79" t="s">
        <v>353</v>
      </c>
      <c r="E79" t="s">
        <v>26</v>
      </c>
      <c r="F79" t="s">
        <v>95</v>
      </c>
      <c r="G79" t="s">
        <v>59</v>
      </c>
      <c r="H79" t="s">
        <v>354</v>
      </c>
      <c r="I79">
        <v>1</v>
      </c>
      <c r="J79">
        <v>49.99</v>
      </c>
      <c r="K79">
        <v>0</v>
      </c>
      <c r="L79">
        <v>4.99</v>
      </c>
      <c r="M79" t="s">
        <v>21</v>
      </c>
      <c r="N79" t="s">
        <v>22</v>
      </c>
    </row>
    <row r="80" spans="1:14" x14ac:dyDescent="0.3">
      <c r="A80" t="s">
        <v>355</v>
      </c>
      <c r="B80" s="1">
        <v>45491</v>
      </c>
      <c r="C80" t="s">
        <v>356</v>
      </c>
      <c r="D80" t="s">
        <v>357</v>
      </c>
      <c r="E80" t="s">
        <v>34</v>
      </c>
      <c r="F80" t="s">
        <v>58</v>
      </c>
      <c r="G80" t="s">
        <v>28</v>
      </c>
      <c r="H80" t="s">
        <v>358</v>
      </c>
      <c r="I80">
        <v>2</v>
      </c>
      <c r="J80">
        <v>29.99</v>
      </c>
      <c r="K80">
        <v>5</v>
      </c>
      <c r="L80">
        <v>5.99</v>
      </c>
      <c r="M80" t="s">
        <v>44</v>
      </c>
      <c r="N80" t="s">
        <v>61</v>
      </c>
    </row>
    <row r="81" spans="1:14" x14ac:dyDescent="0.3">
      <c r="A81" t="s">
        <v>359</v>
      </c>
      <c r="B81" s="1">
        <v>45493</v>
      </c>
      <c r="C81" t="s">
        <v>360</v>
      </c>
      <c r="D81" t="s">
        <v>361</v>
      </c>
      <c r="E81" t="s">
        <v>40</v>
      </c>
      <c r="F81" t="s">
        <v>41</v>
      </c>
      <c r="G81" t="s">
        <v>19</v>
      </c>
      <c r="H81" t="s">
        <v>362</v>
      </c>
      <c r="I81">
        <v>1</v>
      </c>
      <c r="J81">
        <v>129.99</v>
      </c>
      <c r="K81">
        <v>20</v>
      </c>
      <c r="L81">
        <v>10.99</v>
      </c>
      <c r="M81" t="s">
        <v>30</v>
      </c>
      <c r="N81" t="s">
        <v>22</v>
      </c>
    </row>
    <row r="82" spans="1:14" x14ac:dyDescent="0.3">
      <c r="A82" t="s">
        <v>363</v>
      </c>
      <c r="B82" s="1">
        <v>45495</v>
      </c>
      <c r="C82" t="s">
        <v>364</v>
      </c>
      <c r="D82" t="s">
        <v>365</v>
      </c>
      <c r="E82" t="s">
        <v>17</v>
      </c>
      <c r="F82" t="s">
        <v>70</v>
      </c>
      <c r="G82" t="s">
        <v>42</v>
      </c>
      <c r="H82" t="s">
        <v>366</v>
      </c>
      <c r="I82">
        <v>4</v>
      </c>
      <c r="J82">
        <v>14.99</v>
      </c>
      <c r="K82">
        <v>10</v>
      </c>
      <c r="L82">
        <v>4.5</v>
      </c>
      <c r="M82" t="s">
        <v>21</v>
      </c>
      <c r="N82" t="s">
        <v>22</v>
      </c>
    </row>
    <row r="83" spans="1:14" x14ac:dyDescent="0.3">
      <c r="A83" t="s">
        <v>367</v>
      </c>
      <c r="B83" s="1">
        <v>45498</v>
      </c>
      <c r="C83" t="s">
        <v>368</v>
      </c>
      <c r="D83" t="s">
        <v>369</v>
      </c>
      <c r="E83" t="s">
        <v>26</v>
      </c>
      <c r="F83" t="s">
        <v>27</v>
      </c>
      <c r="G83" t="s">
        <v>59</v>
      </c>
      <c r="H83" t="s">
        <v>370</v>
      </c>
      <c r="I83">
        <v>2</v>
      </c>
      <c r="J83">
        <v>34.99</v>
      </c>
      <c r="K83">
        <v>15</v>
      </c>
      <c r="L83">
        <v>4.5</v>
      </c>
      <c r="M83" t="s">
        <v>44</v>
      </c>
      <c r="N83" t="s">
        <v>72</v>
      </c>
    </row>
    <row r="84" spans="1:14" x14ac:dyDescent="0.3">
      <c r="A84" t="s">
        <v>371</v>
      </c>
      <c r="B84" s="1">
        <v>45501</v>
      </c>
      <c r="C84" t="s">
        <v>372</v>
      </c>
      <c r="D84" t="s">
        <v>373</v>
      </c>
      <c r="E84" t="s">
        <v>34</v>
      </c>
      <c r="F84" t="s">
        <v>18</v>
      </c>
      <c r="G84" t="s">
        <v>19</v>
      </c>
      <c r="H84" t="s">
        <v>374</v>
      </c>
      <c r="I84">
        <v>1</v>
      </c>
      <c r="J84">
        <v>99.99</v>
      </c>
      <c r="K84">
        <v>0</v>
      </c>
      <c r="L84">
        <v>9.99</v>
      </c>
      <c r="M84" t="s">
        <v>21</v>
      </c>
      <c r="N84" t="s">
        <v>22</v>
      </c>
    </row>
    <row r="85" spans="1:14" x14ac:dyDescent="0.3">
      <c r="A85" t="s">
        <v>375</v>
      </c>
      <c r="B85" s="1">
        <v>45505</v>
      </c>
      <c r="C85" t="s">
        <v>376</v>
      </c>
      <c r="D85" t="s">
        <v>377</v>
      </c>
      <c r="E85" t="s">
        <v>40</v>
      </c>
      <c r="F85" t="s">
        <v>85</v>
      </c>
      <c r="G85" t="s">
        <v>28</v>
      </c>
      <c r="H85" t="s">
        <v>378</v>
      </c>
      <c r="I85">
        <v>3</v>
      </c>
      <c r="J85">
        <v>39.99</v>
      </c>
      <c r="K85">
        <v>10</v>
      </c>
      <c r="L85">
        <v>6.99</v>
      </c>
      <c r="M85" t="s">
        <v>30</v>
      </c>
      <c r="N85" t="s">
        <v>22</v>
      </c>
    </row>
    <row r="86" spans="1:14" x14ac:dyDescent="0.3">
      <c r="A86" t="s">
        <v>379</v>
      </c>
      <c r="B86" s="1">
        <v>45507</v>
      </c>
      <c r="C86" t="s">
        <v>380</v>
      </c>
      <c r="D86" t="s">
        <v>381</v>
      </c>
      <c r="E86" t="s">
        <v>17</v>
      </c>
      <c r="F86" t="s">
        <v>90</v>
      </c>
      <c r="G86" t="s">
        <v>42</v>
      </c>
      <c r="H86" t="s">
        <v>382</v>
      </c>
      <c r="I86">
        <v>6</v>
      </c>
      <c r="J86">
        <v>19.989999999999998</v>
      </c>
      <c r="K86">
        <v>25</v>
      </c>
      <c r="L86">
        <v>4.99</v>
      </c>
      <c r="M86" t="s">
        <v>21</v>
      </c>
      <c r="N86" t="s">
        <v>22</v>
      </c>
    </row>
    <row r="87" spans="1:14" x14ac:dyDescent="0.3">
      <c r="A87" t="s">
        <v>383</v>
      </c>
      <c r="B87" s="1">
        <v>45509</v>
      </c>
      <c r="C87" t="s">
        <v>384</v>
      </c>
      <c r="D87" t="s">
        <v>385</v>
      </c>
      <c r="E87" t="s">
        <v>26</v>
      </c>
      <c r="F87" t="s">
        <v>53</v>
      </c>
      <c r="G87" t="s">
        <v>19</v>
      </c>
      <c r="H87" t="s">
        <v>386</v>
      </c>
      <c r="I87">
        <v>2</v>
      </c>
      <c r="J87">
        <v>49.99</v>
      </c>
      <c r="K87">
        <v>5</v>
      </c>
      <c r="L87">
        <v>7.5</v>
      </c>
      <c r="M87" t="s">
        <v>44</v>
      </c>
      <c r="N87" t="s">
        <v>22</v>
      </c>
    </row>
    <row r="88" spans="1:14" x14ac:dyDescent="0.3">
      <c r="A88" t="s">
        <v>387</v>
      </c>
      <c r="B88" s="1">
        <v>45512</v>
      </c>
      <c r="C88" t="s">
        <v>388</v>
      </c>
      <c r="D88" t="s">
        <v>389</v>
      </c>
      <c r="E88" t="s">
        <v>34</v>
      </c>
      <c r="F88" t="s">
        <v>35</v>
      </c>
      <c r="G88" t="s">
        <v>59</v>
      </c>
      <c r="H88" t="s">
        <v>390</v>
      </c>
      <c r="I88">
        <v>1</v>
      </c>
      <c r="J88">
        <v>29.99</v>
      </c>
      <c r="K88">
        <v>0</v>
      </c>
      <c r="L88">
        <v>3.99</v>
      </c>
      <c r="M88" t="s">
        <v>30</v>
      </c>
      <c r="N88" t="s">
        <v>22</v>
      </c>
    </row>
    <row r="89" spans="1:14" x14ac:dyDescent="0.3">
      <c r="A89" t="s">
        <v>391</v>
      </c>
      <c r="B89" s="1">
        <v>45514</v>
      </c>
      <c r="C89" t="s">
        <v>392</v>
      </c>
      <c r="D89" t="s">
        <v>393</v>
      </c>
      <c r="E89" t="s">
        <v>40</v>
      </c>
      <c r="F89" t="s">
        <v>121</v>
      </c>
      <c r="G89" t="s">
        <v>28</v>
      </c>
      <c r="H89" t="s">
        <v>394</v>
      </c>
      <c r="I89">
        <v>2</v>
      </c>
      <c r="J89">
        <v>44.99</v>
      </c>
      <c r="K89">
        <v>15</v>
      </c>
      <c r="L89">
        <v>6.5</v>
      </c>
      <c r="M89" t="s">
        <v>21</v>
      </c>
      <c r="N89" t="s">
        <v>72</v>
      </c>
    </row>
    <row r="90" spans="1:14" x14ac:dyDescent="0.3">
      <c r="A90" t="s">
        <v>395</v>
      </c>
      <c r="B90" s="1">
        <v>45516</v>
      </c>
      <c r="C90" t="s">
        <v>396</v>
      </c>
      <c r="D90" t="s">
        <v>397</v>
      </c>
      <c r="E90" t="s">
        <v>17</v>
      </c>
      <c r="F90" t="s">
        <v>48</v>
      </c>
      <c r="G90" t="s">
        <v>19</v>
      </c>
      <c r="H90" t="s">
        <v>398</v>
      </c>
      <c r="I90">
        <v>1</v>
      </c>
      <c r="J90">
        <v>399.99</v>
      </c>
      <c r="K90">
        <v>20</v>
      </c>
      <c r="L90">
        <v>19.989999999999998</v>
      </c>
      <c r="M90" t="s">
        <v>44</v>
      </c>
      <c r="N90" t="s">
        <v>22</v>
      </c>
    </row>
    <row r="91" spans="1:14" x14ac:dyDescent="0.3">
      <c r="A91" t="s">
        <v>399</v>
      </c>
      <c r="B91" s="1">
        <v>45519</v>
      </c>
      <c r="C91" t="s">
        <v>400</v>
      </c>
      <c r="D91" t="s">
        <v>401</v>
      </c>
      <c r="E91" t="s">
        <v>26</v>
      </c>
      <c r="F91" t="s">
        <v>76</v>
      </c>
      <c r="G91" t="s">
        <v>42</v>
      </c>
      <c r="H91" t="s">
        <v>402</v>
      </c>
      <c r="I91">
        <v>2</v>
      </c>
      <c r="J91">
        <v>34.99</v>
      </c>
      <c r="K91">
        <v>10</v>
      </c>
      <c r="L91">
        <v>5.99</v>
      </c>
      <c r="M91" t="s">
        <v>21</v>
      </c>
      <c r="N91" t="s">
        <v>22</v>
      </c>
    </row>
    <row r="92" spans="1:14" x14ac:dyDescent="0.3">
      <c r="A92" t="s">
        <v>403</v>
      </c>
      <c r="B92" s="1">
        <v>45522</v>
      </c>
      <c r="C92" t="s">
        <v>404</v>
      </c>
      <c r="D92" t="s">
        <v>405</v>
      </c>
      <c r="E92" t="s">
        <v>34</v>
      </c>
      <c r="F92" t="s">
        <v>58</v>
      </c>
      <c r="G92" t="s">
        <v>59</v>
      </c>
      <c r="H92" t="s">
        <v>406</v>
      </c>
      <c r="I92">
        <v>1</v>
      </c>
      <c r="J92">
        <v>39.99</v>
      </c>
      <c r="K92">
        <v>0</v>
      </c>
      <c r="L92">
        <v>4.5</v>
      </c>
      <c r="M92" t="s">
        <v>30</v>
      </c>
      <c r="N92" t="s">
        <v>22</v>
      </c>
    </row>
    <row r="93" spans="1:14" x14ac:dyDescent="0.3">
      <c r="A93" t="s">
        <v>407</v>
      </c>
      <c r="B93" s="1">
        <v>45524</v>
      </c>
      <c r="C93" t="s">
        <v>408</v>
      </c>
      <c r="D93" t="s">
        <v>409</v>
      </c>
      <c r="E93" t="s">
        <v>40</v>
      </c>
      <c r="F93" t="s">
        <v>65</v>
      </c>
      <c r="G93" t="s">
        <v>19</v>
      </c>
      <c r="H93" t="s">
        <v>410</v>
      </c>
      <c r="I93">
        <v>1</v>
      </c>
      <c r="J93">
        <v>179.99</v>
      </c>
      <c r="K93">
        <v>15</v>
      </c>
      <c r="L93">
        <v>12.99</v>
      </c>
      <c r="M93" t="s">
        <v>21</v>
      </c>
      <c r="N93" t="s">
        <v>22</v>
      </c>
    </row>
    <row r="94" spans="1:14" x14ac:dyDescent="0.3">
      <c r="A94" t="s">
        <v>411</v>
      </c>
      <c r="B94" s="1">
        <v>45526</v>
      </c>
      <c r="C94" t="s">
        <v>412</v>
      </c>
      <c r="D94" t="s">
        <v>413</v>
      </c>
      <c r="E94" t="s">
        <v>17</v>
      </c>
      <c r="F94" t="s">
        <v>70</v>
      </c>
      <c r="G94" t="s">
        <v>28</v>
      </c>
      <c r="H94" t="s">
        <v>414</v>
      </c>
      <c r="I94">
        <v>4</v>
      </c>
      <c r="J94">
        <v>17.989999999999998</v>
      </c>
      <c r="K94">
        <v>5</v>
      </c>
      <c r="L94">
        <v>4.5</v>
      </c>
      <c r="M94" t="s">
        <v>44</v>
      </c>
      <c r="N94" t="s">
        <v>61</v>
      </c>
    </row>
    <row r="95" spans="1:14" x14ac:dyDescent="0.3">
      <c r="A95" t="s">
        <v>415</v>
      </c>
      <c r="B95" s="1">
        <v>45529</v>
      </c>
      <c r="C95" t="s">
        <v>416</v>
      </c>
      <c r="D95" t="s">
        <v>417</v>
      </c>
      <c r="E95" t="s">
        <v>26</v>
      </c>
      <c r="F95" t="s">
        <v>95</v>
      </c>
      <c r="G95" t="s">
        <v>42</v>
      </c>
      <c r="H95" t="s">
        <v>418</v>
      </c>
      <c r="I95">
        <v>2</v>
      </c>
      <c r="J95">
        <v>44.99</v>
      </c>
      <c r="K95">
        <v>25</v>
      </c>
      <c r="L95">
        <v>6.5</v>
      </c>
      <c r="M95" t="s">
        <v>30</v>
      </c>
      <c r="N95" t="s">
        <v>22</v>
      </c>
    </row>
    <row r="96" spans="1:14" x14ac:dyDescent="0.3">
      <c r="A96" t="s">
        <v>419</v>
      </c>
      <c r="B96" s="1">
        <v>45532</v>
      </c>
      <c r="C96" t="s">
        <v>420</v>
      </c>
      <c r="D96" t="s">
        <v>421</v>
      </c>
      <c r="E96" t="s">
        <v>34</v>
      </c>
      <c r="F96" t="s">
        <v>18</v>
      </c>
      <c r="G96" t="s">
        <v>19</v>
      </c>
      <c r="H96" t="s">
        <v>422</v>
      </c>
      <c r="I96">
        <v>1</v>
      </c>
      <c r="J96">
        <v>499.99</v>
      </c>
      <c r="K96">
        <v>10</v>
      </c>
      <c r="L96">
        <v>24.99</v>
      </c>
      <c r="M96" t="s">
        <v>21</v>
      </c>
      <c r="N96" t="s">
        <v>72</v>
      </c>
    </row>
    <row r="97" spans="1:14" x14ac:dyDescent="0.3">
      <c r="A97" t="s">
        <v>423</v>
      </c>
      <c r="B97" s="1">
        <v>45536</v>
      </c>
      <c r="C97" t="s">
        <v>424</v>
      </c>
      <c r="D97" t="s">
        <v>425</v>
      </c>
      <c r="E97" t="s">
        <v>40</v>
      </c>
      <c r="F97" t="s">
        <v>104</v>
      </c>
      <c r="G97" t="s">
        <v>59</v>
      </c>
      <c r="H97" t="s">
        <v>426</v>
      </c>
      <c r="I97">
        <v>3</v>
      </c>
      <c r="J97">
        <v>19.989999999999998</v>
      </c>
      <c r="K97">
        <v>0</v>
      </c>
      <c r="L97">
        <v>4.99</v>
      </c>
      <c r="M97" t="s">
        <v>44</v>
      </c>
      <c r="N97" t="s">
        <v>22</v>
      </c>
    </row>
    <row r="98" spans="1:14" x14ac:dyDescent="0.3">
      <c r="A98" t="s">
        <v>427</v>
      </c>
      <c r="B98" s="1">
        <v>45538</v>
      </c>
      <c r="C98" t="s">
        <v>428</v>
      </c>
      <c r="D98" t="s">
        <v>429</v>
      </c>
      <c r="E98" t="s">
        <v>17</v>
      </c>
      <c r="F98" t="s">
        <v>90</v>
      </c>
      <c r="G98" t="s">
        <v>28</v>
      </c>
      <c r="H98" t="s">
        <v>430</v>
      </c>
      <c r="I98">
        <v>1</v>
      </c>
      <c r="J98">
        <v>89.99</v>
      </c>
      <c r="K98">
        <v>20</v>
      </c>
      <c r="L98">
        <v>11.99</v>
      </c>
      <c r="M98" t="s">
        <v>21</v>
      </c>
      <c r="N98" t="s">
        <v>22</v>
      </c>
    </row>
    <row r="99" spans="1:14" x14ac:dyDescent="0.3">
      <c r="A99" t="s">
        <v>431</v>
      </c>
      <c r="B99" s="1">
        <v>45540</v>
      </c>
      <c r="C99" t="s">
        <v>432</v>
      </c>
      <c r="D99" t="s">
        <v>433</v>
      </c>
      <c r="E99" t="s">
        <v>26</v>
      </c>
      <c r="F99" t="s">
        <v>27</v>
      </c>
      <c r="G99" t="s">
        <v>19</v>
      </c>
      <c r="H99" t="s">
        <v>434</v>
      </c>
      <c r="I99">
        <v>1</v>
      </c>
      <c r="J99">
        <v>249.99</v>
      </c>
      <c r="K99">
        <v>15</v>
      </c>
      <c r="L99">
        <v>14.99</v>
      </c>
      <c r="M99" t="s">
        <v>30</v>
      </c>
      <c r="N99" t="s">
        <v>22</v>
      </c>
    </row>
    <row r="100" spans="1:14" x14ac:dyDescent="0.3">
      <c r="A100" t="s">
        <v>435</v>
      </c>
      <c r="B100" s="1">
        <v>45543</v>
      </c>
      <c r="C100" t="s">
        <v>436</v>
      </c>
      <c r="D100" t="s">
        <v>437</v>
      </c>
      <c r="E100" t="s">
        <v>34</v>
      </c>
      <c r="F100" t="s">
        <v>35</v>
      </c>
      <c r="G100" t="s">
        <v>42</v>
      </c>
      <c r="H100" t="s">
        <v>438</v>
      </c>
      <c r="I100">
        <v>1</v>
      </c>
      <c r="J100">
        <v>119.99</v>
      </c>
      <c r="K100">
        <v>0</v>
      </c>
      <c r="L100">
        <v>12.99</v>
      </c>
      <c r="M100" t="s">
        <v>44</v>
      </c>
      <c r="N100" t="s">
        <v>22</v>
      </c>
    </row>
    <row r="101" spans="1:14" x14ac:dyDescent="0.3">
      <c r="A101" t="s">
        <v>439</v>
      </c>
      <c r="B101" s="1">
        <v>45545</v>
      </c>
      <c r="C101" t="s">
        <v>440</v>
      </c>
      <c r="D101" t="s">
        <v>441</v>
      </c>
      <c r="E101" t="s">
        <v>40</v>
      </c>
      <c r="F101" t="s">
        <v>41</v>
      </c>
      <c r="G101" t="s">
        <v>59</v>
      </c>
      <c r="H101" t="s">
        <v>442</v>
      </c>
      <c r="I101">
        <v>2</v>
      </c>
      <c r="J101">
        <v>44.99</v>
      </c>
      <c r="K101">
        <v>10</v>
      </c>
      <c r="L101">
        <v>5.5</v>
      </c>
      <c r="M101" t="s">
        <v>21</v>
      </c>
      <c r="N10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64A0-F101-4577-8817-4D517875BBC9}">
  <dimension ref="A1:Z101"/>
  <sheetViews>
    <sheetView zoomScale="80" zoomScaleNormal="171" workbookViewId="0">
      <selection activeCell="B36" sqref="B36"/>
    </sheetView>
  </sheetViews>
  <sheetFormatPr defaultRowHeight="14.4" x14ac:dyDescent="0.3"/>
  <cols>
    <col min="1" max="1" width="10.77734375" bestFit="1" customWidth="1"/>
    <col min="2" max="2" width="12.88671875" bestFit="1" customWidth="1"/>
    <col min="3" max="3" width="12.88671875" customWidth="1"/>
    <col min="4" max="4" width="17.44140625" bestFit="1" customWidth="1"/>
    <col min="5" max="5" width="21.6640625" bestFit="1" customWidth="1"/>
    <col min="6" max="6" width="9" bestFit="1" customWidth="1"/>
    <col min="7" max="7" width="12" bestFit="1" customWidth="1"/>
    <col min="8" max="8" width="18.5546875" bestFit="1" customWidth="1"/>
    <col min="9" max="9" width="17" bestFit="1" customWidth="1"/>
    <col min="10" max="10" width="10.5546875" bestFit="1" customWidth="1"/>
    <col min="11" max="11" width="11.88671875" bestFit="1" customWidth="1"/>
    <col min="12" max="12" width="11.88671875" customWidth="1"/>
    <col min="13" max="13" width="18.109375" bestFit="1" customWidth="1"/>
    <col min="14" max="15" width="18.109375" customWidth="1"/>
    <col min="16" max="16" width="15.33203125" bestFit="1" customWidth="1"/>
    <col min="17" max="17" width="18.77734375" bestFit="1" customWidth="1"/>
    <col min="18" max="18" width="19.44140625" bestFit="1" customWidth="1"/>
    <col min="19" max="19" width="18.6640625" bestFit="1" customWidth="1"/>
    <col min="20" max="20" width="14.21875" bestFit="1" customWidth="1"/>
    <col min="25" max="25" width="0" hidden="1" customWidth="1"/>
    <col min="26" max="26" width="14.21875" hidden="1" customWidth="1"/>
  </cols>
  <sheetData>
    <row r="1" spans="1:26" x14ac:dyDescent="0.3">
      <c r="A1" t="s">
        <v>0</v>
      </c>
      <c r="B1" t="s">
        <v>1</v>
      </c>
      <c r="C1" t="s">
        <v>448</v>
      </c>
      <c r="D1" t="s">
        <v>2</v>
      </c>
      <c r="E1" t="s">
        <v>3</v>
      </c>
      <c r="F1" t="s">
        <v>4</v>
      </c>
      <c r="G1" t="s">
        <v>5</v>
      </c>
      <c r="H1" t="s">
        <v>6</v>
      </c>
      <c r="I1" t="s">
        <v>7</v>
      </c>
      <c r="J1" t="s">
        <v>8</v>
      </c>
      <c r="K1" t="s">
        <v>9</v>
      </c>
      <c r="L1" t="s">
        <v>444</v>
      </c>
      <c r="M1" t="s">
        <v>10</v>
      </c>
      <c r="N1" t="s">
        <v>445</v>
      </c>
      <c r="O1" t="s">
        <v>446</v>
      </c>
      <c r="P1" t="s">
        <v>11</v>
      </c>
      <c r="Q1" t="s">
        <v>447</v>
      </c>
      <c r="R1" t="s">
        <v>449</v>
      </c>
      <c r="S1" t="s">
        <v>12</v>
      </c>
      <c r="T1" t="s">
        <v>13</v>
      </c>
    </row>
    <row r="2" spans="1:26" x14ac:dyDescent="0.3">
      <c r="A2" t="s">
        <v>187</v>
      </c>
      <c r="B2" s="1">
        <v>45385</v>
      </c>
      <c r="C2" s="1" t="str">
        <f>TEXT(SalesData[[#This Row],[Order_Date]],"MMMM")</f>
        <v>April</v>
      </c>
      <c r="D2" t="s">
        <v>188</v>
      </c>
      <c r="E2" t="s">
        <v>189</v>
      </c>
      <c r="F2" t="s">
        <v>17</v>
      </c>
      <c r="G2" t="s">
        <v>90</v>
      </c>
      <c r="H2" t="s">
        <v>59</v>
      </c>
      <c r="I2" t="s">
        <v>190</v>
      </c>
      <c r="J2">
        <v>1</v>
      </c>
      <c r="K2">
        <v>34.99</v>
      </c>
      <c r="L2">
        <f>SalesData[[#This Row],[Unit_Price]]*SalesData[[#This Row],[Quantity]]</f>
        <v>34.99</v>
      </c>
      <c r="M2">
        <v>5</v>
      </c>
      <c r="N2">
        <f>SalesData[[#This Row],[Subtotal]]*(SalesData[[#This Row],[Discount_Percent]]/100)</f>
        <v>1.7495000000000003</v>
      </c>
      <c r="O2">
        <f>SalesData[[#This Row],[Subtotal]]-SalesData[[#This Row],[Discount_Amount]]</f>
        <v>33.240500000000004</v>
      </c>
      <c r="P2">
        <v>3.99</v>
      </c>
      <c r="Q2">
        <f>SUM(SalesData[[#This Row],[Net_Amount]]+SalesData[[#This Row],[Shipping_Cost]])</f>
        <v>37.230500000000006</v>
      </c>
      <c r="R2" t="str">
        <f>IF(SalesData[[#This Row],[Total Order Value]]&gt;200,"High Value",IF(SalesData[[#This Row],[Total Order Value]]&gt;100,"Medium Value","Low Value"))</f>
        <v>Low Value</v>
      </c>
      <c r="S2" t="s">
        <v>44</v>
      </c>
      <c r="T2" t="s">
        <v>22</v>
      </c>
    </row>
    <row r="3" spans="1:26" x14ac:dyDescent="0.3">
      <c r="A3" t="s">
        <v>235</v>
      </c>
      <c r="B3" s="1">
        <v>45415</v>
      </c>
      <c r="C3" s="1" t="str">
        <f>TEXT(SalesData[[#This Row],[Order_Date]],"MMMM")</f>
        <v>May</v>
      </c>
      <c r="D3" t="s">
        <v>236</v>
      </c>
      <c r="E3" t="s">
        <v>237</v>
      </c>
      <c r="F3" t="s">
        <v>17</v>
      </c>
      <c r="G3" t="s">
        <v>90</v>
      </c>
      <c r="H3" t="s">
        <v>42</v>
      </c>
      <c r="I3" t="s">
        <v>238</v>
      </c>
      <c r="J3">
        <v>1</v>
      </c>
      <c r="K3">
        <v>44.99</v>
      </c>
      <c r="L3">
        <f>SalesData[[#This Row],[Unit_Price]]*SalesData[[#This Row],[Quantity]]</f>
        <v>44.99</v>
      </c>
      <c r="M3">
        <v>25</v>
      </c>
      <c r="N3">
        <f>SalesData[[#This Row],[Subtotal]]*(SalesData[[#This Row],[Discount_Percent]]/100)</f>
        <v>11.2475</v>
      </c>
      <c r="O3">
        <f>SalesData[[#This Row],[Subtotal]]-SalesData[[#This Row],[Discount_Amount]]</f>
        <v>33.7425</v>
      </c>
      <c r="P3">
        <v>6.5</v>
      </c>
      <c r="Q3">
        <f>SUM(SalesData[[#This Row],[Net_Amount]]+SalesData[[#This Row],[Shipping_Cost]])</f>
        <v>40.2425</v>
      </c>
      <c r="R3" t="str">
        <f>IF(SalesData[[#This Row],[Total Order Value]]&gt;200,"High Value",IF(SalesData[[#This Row],[Total Order Value]]&gt;100,"Medium Value","Low Value"))</f>
        <v>Low Value</v>
      </c>
      <c r="S3" t="s">
        <v>30</v>
      </c>
      <c r="T3" t="s">
        <v>22</v>
      </c>
    </row>
    <row r="4" spans="1:26" x14ac:dyDescent="0.3">
      <c r="A4" t="s">
        <v>123</v>
      </c>
      <c r="B4" s="1">
        <v>45344</v>
      </c>
      <c r="C4" s="1" t="str">
        <f>TEXT(SalesData[[#This Row],[Order_Date]],"MMMM")</f>
        <v>February</v>
      </c>
      <c r="D4" t="s">
        <v>124</v>
      </c>
      <c r="E4" t="s">
        <v>125</v>
      </c>
      <c r="F4" t="s">
        <v>17</v>
      </c>
      <c r="G4" t="s">
        <v>70</v>
      </c>
      <c r="H4" t="s">
        <v>28</v>
      </c>
      <c r="I4" t="s">
        <v>126</v>
      </c>
      <c r="J4">
        <v>1</v>
      </c>
      <c r="K4">
        <v>39.99</v>
      </c>
      <c r="L4">
        <f>SalesData[[#This Row],[Unit_Price]]*SalesData[[#This Row],[Quantity]]</f>
        <v>39.99</v>
      </c>
      <c r="M4">
        <v>10</v>
      </c>
      <c r="N4">
        <f>SalesData[[#This Row],[Subtotal]]*(SalesData[[#This Row],[Discount_Percent]]/100)</f>
        <v>3.9990000000000006</v>
      </c>
      <c r="O4">
        <f>SalesData[[#This Row],[Subtotal]]-SalesData[[#This Row],[Discount_Amount]]</f>
        <v>35.991</v>
      </c>
      <c r="P4">
        <v>5.99</v>
      </c>
      <c r="Q4">
        <f>SUM(SalesData[[#This Row],[Net_Amount]]+SalesData[[#This Row],[Shipping_Cost]])</f>
        <v>41.981000000000002</v>
      </c>
      <c r="R4" t="str">
        <f>IF(SalesData[[#This Row],[Total Order Value]]&gt;200,"High Value",IF(SalesData[[#This Row],[Total Order Value]]&gt;100,"Medium Value","Low Value"))</f>
        <v>Low Value</v>
      </c>
      <c r="S4" t="s">
        <v>21</v>
      </c>
      <c r="T4" t="s">
        <v>22</v>
      </c>
    </row>
    <row r="5" spans="1:26" x14ac:dyDescent="0.3">
      <c r="A5" t="s">
        <v>315</v>
      </c>
      <c r="B5" s="1">
        <v>45465</v>
      </c>
      <c r="C5" s="1" t="str">
        <f>TEXT(SalesData[[#This Row],[Order_Date]],"MMMM")</f>
        <v>June</v>
      </c>
      <c r="D5" t="s">
        <v>316</v>
      </c>
      <c r="E5" t="s">
        <v>317</v>
      </c>
      <c r="F5" t="s">
        <v>17</v>
      </c>
      <c r="G5" t="s">
        <v>70</v>
      </c>
      <c r="H5" t="s">
        <v>59</v>
      </c>
      <c r="I5" t="s">
        <v>318</v>
      </c>
      <c r="J5">
        <v>1</v>
      </c>
      <c r="K5">
        <v>44.99</v>
      </c>
      <c r="L5">
        <f>SalesData[[#This Row],[Unit_Price]]*SalesData[[#This Row],[Quantity]]</f>
        <v>44.99</v>
      </c>
      <c r="M5">
        <v>0</v>
      </c>
      <c r="N5">
        <f>SalesData[[#This Row],[Subtotal]]*(SalesData[[#This Row],[Discount_Percent]]/100)</f>
        <v>0</v>
      </c>
      <c r="O5">
        <f>SalesData[[#This Row],[Subtotal]]-SalesData[[#This Row],[Discount_Amount]]</f>
        <v>44.99</v>
      </c>
      <c r="P5">
        <v>4.5</v>
      </c>
      <c r="Q5">
        <f>SUM(SalesData[[#This Row],[Net_Amount]]+SalesData[[#This Row],[Shipping_Cost]])</f>
        <v>49.49</v>
      </c>
      <c r="R5" t="str">
        <f>IF(SalesData[[#This Row],[Total Order Value]]&gt;200,"High Value",IF(SalesData[[#This Row],[Total Order Value]]&gt;100,"Medium Value","Low Value"))</f>
        <v>Low Value</v>
      </c>
      <c r="S5" t="s">
        <v>21</v>
      </c>
      <c r="T5" t="s">
        <v>22</v>
      </c>
    </row>
    <row r="6" spans="1:26" x14ac:dyDescent="0.3">
      <c r="A6" t="s">
        <v>331</v>
      </c>
      <c r="B6" s="1">
        <v>45476</v>
      </c>
      <c r="C6" s="1" t="str">
        <f>TEXT(SalesData[[#This Row],[Order_Date]],"MMMM")</f>
        <v>July</v>
      </c>
      <c r="D6" t="s">
        <v>332</v>
      </c>
      <c r="E6" t="s">
        <v>333</v>
      </c>
      <c r="F6" t="s">
        <v>17</v>
      </c>
      <c r="G6" t="s">
        <v>90</v>
      </c>
      <c r="H6" t="s">
        <v>59</v>
      </c>
      <c r="I6" t="s">
        <v>334</v>
      </c>
      <c r="J6">
        <v>2</v>
      </c>
      <c r="K6">
        <v>24.99</v>
      </c>
      <c r="L6">
        <f>SalesData[[#This Row],[Unit_Price]]*SalesData[[#This Row],[Quantity]]</f>
        <v>49.98</v>
      </c>
      <c r="M6">
        <v>0</v>
      </c>
      <c r="N6">
        <f>SalesData[[#This Row],[Subtotal]]*(SalesData[[#This Row],[Discount_Percent]]/100)</f>
        <v>0</v>
      </c>
      <c r="O6">
        <f>SalesData[[#This Row],[Subtotal]]-SalesData[[#This Row],[Discount_Amount]]</f>
        <v>49.98</v>
      </c>
      <c r="P6">
        <v>3.99</v>
      </c>
      <c r="Q6">
        <f>SUM(SalesData[[#This Row],[Net_Amount]]+SalesData[[#This Row],[Shipping_Cost]])</f>
        <v>53.97</v>
      </c>
      <c r="R6" t="str">
        <f>IF(SalesData[[#This Row],[Total Order Value]]&gt;200,"High Value",IF(SalesData[[#This Row],[Total Order Value]]&gt;100,"Medium Value","Low Value"))</f>
        <v>Low Value</v>
      </c>
      <c r="S6" t="s">
        <v>30</v>
      </c>
      <c r="T6" t="s">
        <v>22</v>
      </c>
    </row>
    <row r="7" spans="1:26" x14ac:dyDescent="0.3">
      <c r="A7" t="s">
        <v>171</v>
      </c>
      <c r="B7" s="1">
        <v>45373</v>
      </c>
      <c r="C7" s="1" t="str">
        <f>TEXT(SalesData[[#This Row],[Order_Date]],"MMMM")</f>
        <v>March</v>
      </c>
      <c r="D7" t="s">
        <v>172</v>
      </c>
      <c r="E7" t="s">
        <v>173</v>
      </c>
      <c r="F7" t="s">
        <v>17</v>
      </c>
      <c r="G7" t="s">
        <v>70</v>
      </c>
      <c r="H7" t="s">
        <v>59</v>
      </c>
      <c r="I7" t="s">
        <v>174</v>
      </c>
      <c r="J7">
        <v>1</v>
      </c>
      <c r="K7">
        <v>49.99</v>
      </c>
      <c r="L7">
        <f>SalesData[[#This Row],[Unit_Price]]*SalesData[[#This Row],[Quantity]]</f>
        <v>49.99</v>
      </c>
      <c r="M7">
        <v>0</v>
      </c>
      <c r="N7">
        <f>SalesData[[#This Row],[Subtotal]]*(SalesData[[#This Row],[Discount_Percent]]/100)</f>
        <v>0</v>
      </c>
      <c r="O7">
        <f>SalesData[[#This Row],[Subtotal]]-SalesData[[#This Row],[Discount_Amount]]</f>
        <v>49.99</v>
      </c>
      <c r="P7">
        <v>4.99</v>
      </c>
      <c r="Q7">
        <f>SUM(SalesData[[#This Row],[Net_Amount]]+SalesData[[#This Row],[Shipping_Cost]])</f>
        <v>54.980000000000004</v>
      </c>
      <c r="R7" t="str">
        <f>IF(SalesData[[#This Row],[Total Order Value]]&gt;200,"High Value",IF(SalesData[[#This Row],[Total Order Value]]&gt;100,"Medium Value","Low Value"))</f>
        <v>Low Value</v>
      </c>
      <c r="S7" t="s">
        <v>44</v>
      </c>
      <c r="T7" t="s">
        <v>22</v>
      </c>
    </row>
    <row r="8" spans="1:26" x14ac:dyDescent="0.3">
      <c r="A8" t="s">
        <v>363</v>
      </c>
      <c r="B8" s="1">
        <v>45495</v>
      </c>
      <c r="C8" s="1" t="str">
        <f>TEXT(SalesData[[#This Row],[Order_Date]],"MMMM")</f>
        <v>July</v>
      </c>
      <c r="D8" t="s">
        <v>364</v>
      </c>
      <c r="E8" t="s">
        <v>365</v>
      </c>
      <c r="F8" t="s">
        <v>17</v>
      </c>
      <c r="G8" t="s">
        <v>70</v>
      </c>
      <c r="H8" t="s">
        <v>42</v>
      </c>
      <c r="I8" t="s">
        <v>366</v>
      </c>
      <c r="J8">
        <v>4</v>
      </c>
      <c r="K8">
        <v>14.99</v>
      </c>
      <c r="L8">
        <f>SalesData[[#This Row],[Unit_Price]]*SalesData[[#This Row],[Quantity]]</f>
        <v>59.96</v>
      </c>
      <c r="M8">
        <v>10</v>
      </c>
      <c r="N8">
        <f>SalesData[[#This Row],[Subtotal]]*(SalesData[[#This Row],[Discount_Percent]]/100)</f>
        <v>5.9960000000000004</v>
      </c>
      <c r="O8">
        <f>SalesData[[#This Row],[Subtotal]]-SalesData[[#This Row],[Discount_Amount]]</f>
        <v>53.963999999999999</v>
      </c>
      <c r="P8">
        <v>4.5</v>
      </c>
      <c r="Q8">
        <f>SUM(SalesData[[#This Row],[Net_Amount]]+SalesData[[#This Row],[Shipping_Cost]])</f>
        <v>58.463999999999999</v>
      </c>
      <c r="R8" t="str">
        <f>IF(SalesData[[#This Row],[Total Order Value]]&gt;200,"High Value",IF(SalesData[[#This Row],[Total Order Value]]&gt;100,"Medium Value","Low Value"))</f>
        <v>Low Value</v>
      </c>
      <c r="S8" t="s">
        <v>21</v>
      </c>
      <c r="T8" t="s">
        <v>22</v>
      </c>
    </row>
    <row r="9" spans="1:26" x14ac:dyDescent="0.3">
      <c r="A9" t="s">
        <v>14</v>
      </c>
      <c r="B9" s="1">
        <v>45296</v>
      </c>
      <c r="C9" s="1" t="str">
        <f>TEXT(SalesData[[#This Row],[Order_Date]],"MMMM")</f>
        <v>January</v>
      </c>
      <c r="D9" t="s">
        <v>15</v>
      </c>
      <c r="E9" t="s">
        <v>16</v>
      </c>
      <c r="F9" t="s">
        <v>17</v>
      </c>
      <c r="G9" t="s">
        <v>18</v>
      </c>
      <c r="H9" t="s">
        <v>19</v>
      </c>
      <c r="I9" t="s">
        <v>20</v>
      </c>
      <c r="J9">
        <v>2</v>
      </c>
      <c r="K9">
        <v>29.99</v>
      </c>
      <c r="L9">
        <f>SalesData[[#This Row],[Unit_Price]]*SalesData[[#This Row],[Quantity]]</f>
        <v>59.98</v>
      </c>
      <c r="M9">
        <v>10</v>
      </c>
      <c r="N9">
        <f>SalesData[[#This Row],[Subtotal]]*(SalesData[[#This Row],[Discount_Percent]]/100)</f>
        <v>5.9980000000000002</v>
      </c>
      <c r="O9">
        <f>SalesData[[#This Row],[Subtotal]]-SalesData[[#This Row],[Discount_Amount]]</f>
        <v>53.981999999999999</v>
      </c>
      <c r="P9">
        <v>5.99</v>
      </c>
      <c r="Q9">
        <f>SUM(SalesData[[#This Row],[Net_Amount]]+SalesData[[#This Row],[Shipping_Cost]])</f>
        <v>59.972000000000001</v>
      </c>
      <c r="R9" t="str">
        <f>IF(SalesData[[#This Row],[Total Order Value]]&gt;200,"High Value",IF(SalesData[[#This Row],[Total Order Value]]&gt;100,"Medium Value","Low Value"))</f>
        <v>Low Value</v>
      </c>
      <c r="S9" t="s">
        <v>21</v>
      </c>
      <c r="T9" t="s">
        <v>22</v>
      </c>
    </row>
    <row r="10" spans="1:26" x14ac:dyDescent="0.3">
      <c r="A10" t="s">
        <v>283</v>
      </c>
      <c r="B10" s="1">
        <v>45446</v>
      </c>
      <c r="C10" s="1" t="str">
        <f>TEXT(SalesData[[#This Row],[Order_Date]],"MMMM")</f>
        <v>June</v>
      </c>
      <c r="D10" t="s">
        <v>284</v>
      </c>
      <c r="E10" t="s">
        <v>285</v>
      </c>
      <c r="F10" t="s">
        <v>17</v>
      </c>
      <c r="G10" t="s">
        <v>90</v>
      </c>
      <c r="H10" t="s">
        <v>28</v>
      </c>
      <c r="I10" t="s">
        <v>286</v>
      </c>
      <c r="J10">
        <v>1</v>
      </c>
      <c r="K10">
        <v>69.989999999999995</v>
      </c>
      <c r="L10">
        <f>SalesData[[#This Row],[Unit_Price]]*SalesData[[#This Row],[Quantity]]</f>
        <v>69.989999999999995</v>
      </c>
      <c r="M10">
        <v>15</v>
      </c>
      <c r="N10">
        <f>SalesData[[#This Row],[Subtotal]]*(SalesData[[#This Row],[Discount_Percent]]/100)</f>
        <v>10.498499999999998</v>
      </c>
      <c r="O10">
        <f>SalesData[[#This Row],[Subtotal]]-SalesData[[#This Row],[Discount_Amount]]</f>
        <v>59.491499999999995</v>
      </c>
      <c r="P10">
        <v>8.99</v>
      </c>
      <c r="Q10">
        <f>SUM(SalesData[[#This Row],[Net_Amount]]+SalesData[[#This Row],[Shipping_Cost]])</f>
        <v>68.481499999999997</v>
      </c>
      <c r="R10" t="str">
        <f>IF(SalesData[[#This Row],[Total Order Value]]&gt;200,"High Value",IF(SalesData[[#This Row],[Total Order Value]]&gt;100,"Medium Value","Low Value"))</f>
        <v>Low Value</v>
      </c>
      <c r="S10" t="s">
        <v>44</v>
      </c>
      <c r="T10" t="s">
        <v>22</v>
      </c>
    </row>
    <row r="11" spans="1:26" x14ac:dyDescent="0.3">
      <c r="A11" t="s">
        <v>251</v>
      </c>
      <c r="B11" s="1">
        <v>45424</v>
      </c>
      <c r="C11" s="1" t="str">
        <f>TEXT(SalesData[[#This Row],[Order_Date]],"MMMM")</f>
        <v>May</v>
      </c>
      <c r="D11" t="s">
        <v>252</v>
      </c>
      <c r="E11" t="s">
        <v>253</v>
      </c>
      <c r="F11" t="s">
        <v>17</v>
      </c>
      <c r="G11" t="s">
        <v>48</v>
      </c>
      <c r="H11" t="s">
        <v>19</v>
      </c>
      <c r="I11" t="s">
        <v>254</v>
      </c>
      <c r="J11">
        <v>5</v>
      </c>
      <c r="K11">
        <v>14.99</v>
      </c>
      <c r="L11">
        <f>SalesData[[#This Row],[Unit_Price]]*SalesData[[#This Row],[Quantity]]</f>
        <v>74.95</v>
      </c>
      <c r="M11">
        <v>10</v>
      </c>
      <c r="N11">
        <f>SalesData[[#This Row],[Subtotal]]*(SalesData[[#This Row],[Discount_Percent]]/100)</f>
        <v>7.495000000000001</v>
      </c>
      <c r="O11">
        <f>SalesData[[#This Row],[Subtotal]]-SalesData[[#This Row],[Discount_Amount]]</f>
        <v>67.454999999999998</v>
      </c>
      <c r="P11">
        <v>2.99</v>
      </c>
      <c r="Q11">
        <f>SUM(SalesData[[#This Row],[Net_Amount]]+SalesData[[#This Row],[Shipping_Cost]])</f>
        <v>70.444999999999993</v>
      </c>
      <c r="R11" t="str">
        <f>IF(SalesData[[#This Row],[Total Order Value]]&gt;200,"High Value",IF(SalesData[[#This Row],[Total Order Value]]&gt;100,"Medium Value","Low Value"))</f>
        <v>Low Value</v>
      </c>
      <c r="S11" t="s">
        <v>21</v>
      </c>
      <c r="T11" t="s">
        <v>72</v>
      </c>
      <c r="Y11" t="s">
        <v>443</v>
      </c>
      <c r="Z11" t="s">
        <v>13</v>
      </c>
    </row>
    <row r="12" spans="1:26" x14ac:dyDescent="0.3">
      <c r="A12" t="s">
        <v>411</v>
      </c>
      <c r="B12" s="1">
        <v>45526</v>
      </c>
      <c r="C12" s="1" t="str">
        <f>TEXT(SalesData[[#This Row],[Order_Date]],"MMMM")</f>
        <v>August</v>
      </c>
      <c r="D12" t="s">
        <v>412</v>
      </c>
      <c r="E12" t="s">
        <v>413</v>
      </c>
      <c r="F12" t="s">
        <v>17</v>
      </c>
      <c r="G12" t="s">
        <v>70</v>
      </c>
      <c r="H12" t="s">
        <v>28</v>
      </c>
      <c r="I12" t="s">
        <v>414</v>
      </c>
      <c r="J12">
        <v>4</v>
      </c>
      <c r="K12">
        <v>17.989999999999998</v>
      </c>
      <c r="L12">
        <f>SalesData[[#This Row],[Unit_Price]]*SalesData[[#This Row],[Quantity]]</f>
        <v>71.959999999999994</v>
      </c>
      <c r="M12">
        <v>5</v>
      </c>
      <c r="N12">
        <f>SalesData[[#This Row],[Subtotal]]*(SalesData[[#This Row],[Discount_Percent]]/100)</f>
        <v>3.5979999999999999</v>
      </c>
      <c r="O12">
        <f>SalesData[[#This Row],[Subtotal]]-SalesData[[#This Row],[Discount_Amount]]</f>
        <v>68.361999999999995</v>
      </c>
      <c r="P12">
        <v>4.5</v>
      </c>
      <c r="Q12">
        <f>SUM(SalesData[[#This Row],[Net_Amount]]+SalesData[[#This Row],[Shipping_Cost]])</f>
        <v>72.861999999999995</v>
      </c>
      <c r="R12" t="str">
        <f>IF(SalesData[[#This Row],[Total Order Value]]&gt;200,"High Value",IF(SalesData[[#This Row],[Total Order Value]]&gt;100,"Medium Value","Low Value"))</f>
        <v>Low Value</v>
      </c>
      <c r="S12" t="s">
        <v>44</v>
      </c>
      <c r="T12" t="s">
        <v>61</v>
      </c>
      <c r="Y12" t="s">
        <v>17</v>
      </c>
      <c r="Z12" t="s">
        <v>22</v>
      </c>
    </row>
    <row r="13" spans="1:26" x14ac:dyDescent="0.3">
      <c r="A13" t="s">
        <v>299</v>
      </c>
      <c r="B13" s="1">
        <v>45455</v>
      </c>
      <c r="C13" s="1" t="str">
        <f>TEXT(SalesData[[#This Row],[Order_Date]],"MMMM")</f>
        <v>June</v>
      </c>
      <c r="D13" t="s">
        <v>300</v>
      </c>
      <c r="E13" t="s">
        <v>301</v>
      </c>
      <c r="F13" t="s">
        <v>17</v>
      </c>
      <c r="G13" t="s">
        <v>48</v>
      </c>
      <c r="H13" t="s">
        <v>19</v>
      </c>
      <c r="I13" t="s">
        <v>302</v>
      </c>
      <c r="J13">
        <v>6</v>
      </c>
      <c r="K13">
        <v>12.99</v>
      </c>
      <c r="L13">
        <f>SalesData[[#This Row],[Unit_Price]]*SalesData[[#This Row],[Quantity]]</f>
        <v>77.94</v>
      </c>
      <c r="M13">
        <v>5</v>
      </c>
      <c r="N13">
        <f>SalesData[[#This Row],[Subtotal]]*(SalesData[[#This Row],[Discount_Percent]]/100)</f>
        <v>3.8970000000000002</v>
      </c>
      <c r="O13">
        <f>SalesData[[#This Row],[Subtotal]]-SalesData[[#This Row],[Discount_Amount]]</f>
        <v>74.042999999999992</v>
      </c>
      <c r="P13">
        <v>2.99</v>
      </c>
      <c r="Q13">
        <f>SUM(SalesData[[#This Row],[Net_Amount]]+SalesData[[#This Row],[Shipping_Cost]])</f>
        <v>77.032999999999987</v>
      </c>
      <c r="R13" t="str">
        <f>IF(SalesData[[#This Row],[Total Order Value]]&gt;200,"High Value",IF(SalesData[[#This Row],[Total Order Value]]&gt;100,"Medium Value","Low Value"))</f>
        <v>Low Value</v>
      </c>
      <c r="S13" t="s">
        <v>44</v>
      </c>
      <c r="T13" t="s">
        <v>61</v>
      </c>
      <c r="Y13" t="s">
        <v>26</v>
      </c>
      <c r="Z13" t="s">
        <v>72</v>
      </c>
    </row>
    <row r="14" spans="1:26" x14ac:dyDescent="0.3">
      <c r="A14" t="s">
        <v>203</v>
      </c>
      <c r="B14" s="1">
        <v>45394</v>
      </c>
      <c r="C14" s="1" t="str">
        <f>TEXT(SalesData[[#This Row],[Order_Date]],"MMMM")</f>
        <v>April</v>
      </c>
      <c r="D14" t="s">
        <v>204</v>
      </c>
      <c r="E14" t="s">
        <v>205</v>
      </c>
      <c r="F14" t="s">
        <v>17</v>
      </c>
      <c r="G14" t="s">
        <v>48</v>
      </c>
      <c r="H14" t="s">
        <v>19</v>
      </c>
      <c r="I14" t="s">
        <v>206</v>
      </c>
      <c r="J14">
        <v>2</v>
      </c>
      <c r="K14">
        <v>44.99</v>
      </c>
      <c r="L14">
        <f>SalesData[[#This Row],[Unit_Price]]*SalesData[[#This Row],[Quantity]]</f>
        <v>89.98</v>
      </c>
      <c r="M14">
        <v>15</v>
      </c>
      <c r="N14">
        <f>SalesData[[#This Row],[Subtotal]]*(SalesData[[#This Row],[Discount_Percent]]/100)</f>
        <v>13.497</v>
      </c>
      <c r="O14">
        <f>SalesData[[#This Row],[Subtotal]]-SalesData[[#This Row],[Discount_Amount]]</f>
        <v>76.483000000000004</v>
      </c>
      <c r="P14">
        <v>5.5</v>
      </c>
      <c r="Q14">
        <f>SUM(SalesData[[#This Row],[Net_Amount]]+SalesData[[#This Row],[Shipping_Cost]])</f>
        <v>81.983000000000004</v>
      </c>
      <c r="R14" t="str">
        <f>IF(SalesData[[#This Row],[Total Order Value]]&gt;200,"High Value",IF(SalesData[[#This Row],[Total Order Value]]&gt;100,"Medium Value","Low Value"))</f>
        <v>Low Value</v>
      </c>
      <c r="S14" t="s">
        <v>21</v>
      </c>
      <c r="T14" t="s">
        <v>22</v>
      </c>
      <c r="Y14" t="s">
        <v>34</v>
      </c>
      <c r="Z14" t="s">
        <v>61</v>
      </c>
    </row>
    <row r="15" spans="1:26" x14ac:dyDescent="0.3">
      <c r="A15" t="s">
        <v>427</v>
      </c>
      <c r="B15" s="1">
        <v>45538</v>
      </c>
      <c r="C15" s="1" t="str">
        <f>TEXT(SalesData[[#This Row],[Order_Date]],"MMMM")</f>
        <v>September</v>
      </c>
      <c r="D15" t="s">
        <v>428</v>
      </c>
      <c r="E15" t="s">
        <v>429</v>
      </c>
      <c r="F15" t="s">
        <v>17</v>
      </c>
      <c r="G15" t="s">
        <v>90</v>
      </c>
      <c r="H15" t="s">
        <v>28</v>
      </c>
      <c r="I15" t="s">
        <v>430</v>
      </c>
      <c r="J15">
        <v>1</v>
      </c>
      <c r="K15">
        <v>89.99</v>
      </c>
      <c r="L15">
        <f>SalesData[[#This Row],[Unit_Price]]*SalesData[[#This Row],[Quantity]]</f>
        <v>89.99</v>
      </c>
      <c r="M15">
        <v>20</v>
      </c>
      <c r="N15">
        <f>SalesData[[#This Row],[Subtotal]]*(SalesData[[#This Row],[Discount_Percent]]/100)</f>
        <v>17.998000000000001</v>
      </c>
      <c r="O15">
        <f>SalesData[[#This Row],[Subtotal]]-SalesData[[#This Row],[Discount_Amount]]</f>
        <v>71.99199999999999</v>
      </c>
      <c r="P15">
        <v>11.99</v>
      </c>
      <c r="Q15">
        <f>SUM(SalesData[[#This Row],[Net_Amount]]+SalesData[[#This Row],[Shipping_Cost]])</f>
        <v>83.981999999999985</v>
      </c>
      <c r="R15" t="str">
        <f>IF(SalesData[[#This Row],[Total Order Value]]&gt;200,"High Value",IF(SalesData[[#This Row],[Total Order Value]]&gt;100,"Medium Value","Low Value"))</f>
        <v>Low Value</v>
      </c>
      <c r="S15" t="s">
        <v>21</v>
      </c>
      <c r="T15" t="s">
        <v>22</v>
      </c>
      <c r="Y15" t="s">
        <v>40</v>
      </c>
    </row>
    <row r="16" spans="1:26" x14ac:dyDescent="0.3">
      <c r="A16" t="s">
        <v>67</v>
      </c>
      <c r="B16" s="1">
        <v>45313</v>
      </c>
      <c r="C16" s="1" t="str">
        <f>TEXT(SalesData[[#This Row],[Order_Date]],"MMMM")</f>
        <v>January</v>
      </c>
      <c r="D16" t="s">
        <v>68</v>
      </c>
      <c r="E16" t="s">
        <v>69</v>
      </c>
      <c r="F16" t="s">
        <v>17</v>
      </c>
      <c r="G16" t="s">
        <v>70</v>
      </c>
      <c r="H16" t="s">
        <v>19</v>
      </c>
      <c r="I16" t="s">
        <v>71</v>
      </c>
      <c r="J16">
        <v>1</v>
      </c>
      <c r="K16">
        <v>79.989999999999995</v>
      </c>
      <c r="L16">
        <f>SalesData[[#This Row],[Unit_Price]]*SalesData[[#This Row],[Quantity]]</f>
        <v>79.989999999999995</v>
      </c>
      <c r="M16">
        <v>0</v>
      </c>
      <c r="N16">
        <f>SalesData[[#This Row],[Subtotal]]*(SalesData[[#This Row],[Discount_Percent]]/100)</f>
        <v>0</v>
      </c>
      <c r="O16">
        <f>SalesData[[#This Row],[Subtotal]]-SalesData[[#This Row],[Discount_Amount]]</f>
        <v>79.989999999999995</v>
      </c>
      <c r="P16">
        <v>6.5</v>
      </c>
      <c r="Q16">
        <f>SUM(SalesData[[#This Row],[Net_Amount]]+SalesData[[#This Row],[Shipping_Cost]])</f>
        <v>86.49</v>
      </c>
      <c r="R16" t="str">
        <f>IF(SalesData[[#This Row],[Total Order Value]]&gt;200,"High Value",IF(SalesData[[#This Row],[Total Order Value]]&gt;100,"Medium Value","Low Value"))</f>
        <v>Low Value</v>
      </c>
      <c r="S16" t="s">
        <v>44</v>
      </c>
      <c r="T16" t="s">
        <v>72</v>
      </c>
    </row>
    <row r="17" spans="1:20" x14ac:dyDescent="0.3">
      <c r="A17" t="s">
        <v>347</v>
      </c>
      <c r="B17" s="1">
        <v>45485</v>
      </c>
      <c r="C17" s="1" t="str">
        <f>TEXT(SalesData[[#This Row],[Order_Date]],"MMMM")</f>
        <v>July</v>
      </c>
      <c r="D17" t="s">
        <v>348</v>
      </c>
      <c r="E17" t="s">
        <v>349</v>
      </c>
      <c r="F17" t="s">
        <v>17</v>
      </c>
      <c r="G17" t="s">
        <v>48</v>
      </c>
      <c r="H17" t="s">
        <v>19</v>
      </c>
      <c r="I17" t="s">
        <v>350</v>
      </c>
      <c r="J17">
        <v>5</v>
      </c>
      <c r="K17">
        <v>19.989999999999998</v>
      </c>
      <c r="L17">
        <f>SalesData[[#This Row],[Unit_Price]]*SalesData[[#This Row],[Quantity]]</f>
        <v>99.949999999999989</v>
      </c>
      <c r="M17">
        <v>15</v>
      </c>
      <c r="N17">
        <f>SalesData[[#This Row],[Subtotal]]*(SalesData[[#This Row],[Discount_Percent]]/100)</f>
        <v>14.992499999999998</v>
      </c>
      <c r="O17">
        <f>SalesData[[#This Row],[Subtotal]]-SalesData[[#This Row],[Discount_Amount]]</f>
        <v>84.957499999999996</v>
      </c>
      <c r="P17">
        <v>3.99</v>
      </c>
      <c r="Q17">
        <f>SUM(SalesData[[#This Row],[Net_Amount]]+SalesData[[#This Row],[Shipping_Cost]])</f>
        <v>88.947499999999991</v>
      </c>
      <c r="R17" t="str">
        <f>IF(SalesData[[#This Row],[Total Order Value]]&gt;200,"High Value",IF(SalesData[[#This Row],[Total Order Value]]&gt;100,"Medium Value","Low Value"))</f>
        <v>Low Value</v>
      </c>
      <c r="S17" t="s">
        <v>30</v>
      </c>
      <c r="T17" t="s">
        <v>22</v>
      </c>
    </row>
    <row r="18" spans="1:20" x14ac:dyDescent="0.3">
      <c r="A18" t="s">
        <v>267</v>
      </c>
      <c r="B18" s="1">
        <v>45434</v>
      </c>
      <c r="C18" s="1" t="str">
        <f>TEXT(SalesData[[#This Row],[Order_Date]],"MMMM")</f>
        <v>May</v>
      </c>
      <c r="D18" t="s">
        <v>268</v>
      </c>
      <c r="E18" t="s">
        <v>269</v>
      </c>
      <c r="F18" t="s">
        <v>17</v>
      </c>
      <c r="G18" t="s">
        <v>70</v>
      </c>
      <c r="H18" t="s">
        <v>28</v>
      </c>
      <c r="I18" t="s">
        <v>270</v>
      </c>
      <c r="J18">
        <v>3</v>
      </c>
      <c r="K18">
        <v>29.99</v>
      </c>
      <c r="L18">
        <f>SalesData[[#This Row],[Unit_Price]]*SalesData[[#This Row],[Quantity]]</f>
        <v>89.97</v>
      </c>
      <c r="M18">
        <v>5</v>
      </c>
      <c r="N18">
        <f>SalesData[[#This Row],[Subtotal]]*(SalesData[[#This Row],[Discount_Percent]]/100)</f>
        <v>4.4984999999999999</v>
      </c>
      <c r="O18">
        <f>SalesData[[#This Row],[Subtotal]]-SalesData[[#This Row],[Discount_Amount]]</f>
        <v>85.471499999999992</v>
      </c>
      <c r="P18">
        <v>5.99</v>
      </c>
      <c r="Q18">
        <f>SUM(SalesData[[#This Row],[Net_Amount]]+SalesData[[#This Row],[Shipping_Cost]])</f>
        <v>91.461499999999987</v>
      </c>
      <c r="R18" t="str">
        <f>IF(SalesData[[#This Row],[Total Order Value]]&gt;200,"High Value",IF(SalesData[[#This Row],[Total Order Value]]&gt;100,"Medium Value","Low Value"))</f>
        <v>Low Value</v>
      </c>
      <c r="S18" t="s">
        <v>21</v>
      </c>
      <c r="T18" t="s">
        <v>22</v>
      </c>
    </row>
    <row r="19" spans="1:20" x14ac:dyDescent="0.3">
      <c r="A19" t="s">
        <v>45</v>
      </c>
      <c r="B19" s="1">
        <v>45303</v>
      </c>
      <c r="C19" s="1" t="str">
        <f>TEXT(SalesData[[#This Row],[Order_Date]],"MMMM")</f>
        <v>January</v>
      </c>
      <c r="D19" t="s">
        <v>46</v>
      </c>
      <c r="E19" t="s">
        <v>47</v>
      </c>
      <c r="F19" t="s">
        <v>17</v>
      </c>
      <c r="G19" t="s">
        <v>48</v>
      </c>
      <c r="H19" t="s">
        <v>19</v>
      </c>
      <c r="I19" t="s">
        <v>49</v>
      </c>
      <c r="J19">
        <v>1</v>
      </c>
      <c r="K19">
        <v>89.99</v>
      </c>
      <c r="L19">
        <f>SalesData[[#This Row],[Unit_Price]]*SalesData[[#This Row],[Quantity]]</f>
        <v>89.99</v>
      </c>
      <c r="M19">
        <v>5</v>
      </c>
      <c r="N19">
        <f>SalesData[[#This Row],[Subtotal]]*(SalesData[[#This Row],[Discount_Percent]]/100)</f>
        <v>4.4995000000000003</v>
      </c>
      <c r="O19">
        <f>SalesData[[#This Row],[Subtotal]]-SalesData[[#This Row],[Discount_Amount]]</f>
        <v>85.490499999999997</v>
      </c>
      <c r="P19">
        <v>8.99</v>
      </c>
      <c r="Q19">
        <f>SUM(SalesData[[#This Row],[Net_Amount]]+SalesData[[#This Row],[Shipping_Cost]])</f>
        <v>94.480499999999992</v>
      </c>
      <c r="R19" t="str">
        <f>IF(SalesData[[#This Row],[Total Order Value]]&gt;200,"High Value",IF(SalesData[[#This Row],[Total Order Value]]&gt;100,"Medium Value","Low Value"))</f>
        <v>Low Value</v>
      </c>
      <c r="S19" t="s">
        <v>21</v>
      </c>
      <c r="T19" t="s">
        <v>22</v>
      </c>
    </row>
    <row r="20" spans="1:20" x14ac:dyDescent="0.3">
      <c r="A20" t="s">
        <v>379</v>
      </c>
      <c r="B20" s="1">
        <v>45507</v>
      </c>
      <c r="C20" s="1" t="str">
        <f>TEXT(SalesData[[#This Row],[Order_Date]],"MMMM")</f>
        <v>August</v>
      </c>
      <c r="D20" t="s">
        <v>380</v>
      </c>
      <c r="E20" t="s">
        <v>381</v>
      </c>
      <c r="F20" t="s">
        <v>17</v>
      </c>
      <c r="G20" t="s">
        <v>90</v>
      </c>
      <c r="H20" t="s">
        <v>42</v>
      </c>
      <c r="I20" t="s">
        <v>382</v>
      </c>
      <c r="J20">
        <v>6</v>
      </c>
      <c r="K20">
        <v>19.989999999999998</v>
      </c>
      <c r="L20">
        <f>SalesData[[#This Row],[Unit_Price]]*SalesData[[#This Row],[Quantity]]</f>
        <v>119.94</v>
      </c>
      <c r="M20">
        <v>25</v>
      </c>
      <c r="N20">
        <f>SalesData[[#This Row],[Subtotal]]*(SalesData[[#This Row],[Discount_Percent]]/100)</f>
        <v>29.984999999999999</v>
      </c>
      <c r="O20">
        <f>SalesData[[#This Row],[Subtotal]]-SalesData[[#This Row],[Discount_Amount]]</f>
        <v>89.954999999999998</v>
      </c>
      <c r="P20">
        <v>4.99</v>
      </c>
      <c r="Q20">
        <f>SUM(SalesData[[#This Row],[Net_Amount]]+SalesData[[#This Row],[Shipping_Cost]])</f>
        <v>94.944999999999993</v>
      </c>
      <c r="R20" t="str">
        <f>IF(SalesData[[#This Row],[Total Order Value]]&gt;200,"High Value",IF(SalesData[[#This Row],[Total Order Value]]&gt;100,"Medium Value","Low Value"))</f>
        <v>Low Value</v>
      </c>
      <c r="S20" t="s">
        <v>21</v>
      </c>
      <c r="T20" t="s">
        <v>22</v>
      </c>
    </row>
    <row r="21" spans="1:20" x14ac:dyDescent="0.3">
      <c r="A21" t="s">
        <v>219</v>
      </c>
      <c r="B21" s="1">
        <v>45404</v>
      </c>
      <c r="C21" s="1" t="str">
        <f>TEXT(SalesData[[#This Row],[Order_Date]],"MMMM")</f>
        <v>April</v>
      </c>
      <c r="D21" t="s">
        <v>220</v>
      </c>
      <c r="E21" t="s">
        <v>221</v>
      </c>
      <c r="F21" t="s">
        <v>17</v>
      </c>
      <c r="G21" t="s">
        <v>70</v>
      </c>
      <c r="H21" t="s">
        <v>42</v>
      </c>
      <c r="I21" t="s">
        <v>222</v>
      </c>
      <c r="J21">
        <v>2</v>
      </c>
      <c r="K21">
        <v>54.99</v>
      </c>
      <c r="L21">
        <f>SalesData[[#This Row],[Unit_Price]]*SalesData[[#This Row],[Quantity]]</f>
        <v>109.98</v>
      </c>
      <c r="M21">
        <v>20</v>
      </c>
      <c r="N21">
        <f>SalesData[[#This Row],[Subtotal]]*(SalesData[[#This Row],[Discount_Percent]]/100)</f>
        <v>21.996000000000002</v>
      </c>
      <c r="O21">
        <f>SalesData[[#This Row],[Subtotal]]-SalesData[[#This Row],[Discount_Amount]]</f>
        <v>87.984000000000009</v>
      </c>
      <c r="P21">
        <v>7.99</v>
      </c>
      <c r="Q21">
        <f>SUM(SalesData[[#This Row],[Net_Amount]]+SalesData[[#This Row],[Shipping_Cost]])</f>
        <v>95.974000000000004</v>
      </c>
      <c r="R21" t="str">
        <f>IF(SalesData[[#This Row],[Total Order Value]]&gt;200,"High Value",IF(SalesData[[#This Row],[Total Order Value]]&gt;100,"Medium Value","Low Value"))</f>
        <v>Low Value</v>
      </c>
      <c r="S21" t="s">
        <v>30</v>
      </c>
      <c r="T21" t="s">
        <v>72</v>
      </c>
    </row>
    <row r="22" spans="1:20" x14ac:dyDescent="0.3">
      <c r="A22" t="s">
        <v>155</v>
      </c>
      <c r="B22" s="1">
        <v>45363</v>
      </c>
      <c r="C22" s="1" t="str">
        <f>TEXT(SalesData[[#This Row],[Order_Date]],"MMMM")</f>
        <v>March</v>
      </c>
      <c r="D22" t="s">
        <v>156</v>
      </c>
      <c r="E22" t="s">
        <v>157</v>
      </c>
      <c r="F22" t="s">
        <v>17</v>
      </c>
      <c r="G22" t="s">
        <v>48</v>
      </c>
      <c r="H22" t="s">
        <v>19</v>
      </c>
      <c r="I22" t="s">
        <v>158</v>
      </c>
      <c r="J22">
        <v>1</v>
      </c>
      <c r="K22">
        <v>119.99</v>
      </c>
      <c r="L22">
        <f>SalesData[[#This Row],[Unit_Price]]*SalesData[[#This Row],[Quantity]]</f>
        <v>119.99</v>
      </c>
      <c r="M22">
        <v>15</v>
      </c>
      <c r="N22">
        <f>SalesData[[#This Row],[Subtotal]]*(SalesData[[#This Row],[Discount_Percent]]/100)</f>
        <v>17.9985</v>
      </c>
      <c r="O22">
        <f>SalesData[[#This Row],[Subtotal]]-SalesData[[#This Row],[Discount_Amount]]</f>
        <v>101.9915</v>
      </c>
      <c r="P22">
        <v>9.99</v>
      </c>
      <c r="Q22">
        <f>SUM(SalesData[[#This Row],[Net_Amount]]+SalesData[[#This Row],[Shipping_Cost]])</f>
        <v>111.9815</v>
      </c>
      <c r="R22" t="str">
        <f>IF(SalesData[[#This Row],[Total Order Value]]&gt;200,"High Value",IF(SalesData[[#This Row],[Total Order Value]]&gt;100,"Medium Value","Low Value"))</f>
        <v>Medium Value</v>
      </c>
      <c r="S22" t="s">
        <v>21</v>
      </c>
      <c r="T22" t="s">
        <v>22</v>
      </c>
    </row>
    <row r="23" spans="1:20" x14ac:dyDescent="0.3">
      <c r="A23" t="s">
        <v>87</v>
      </c>
      <c r="B23" s="1">
        <v>45325</v>
      </c>
      <c r="C23" s="1" t="str">
        <f>TEXT(SalesData[[#This Row],[Order_Date]],"MMMM")</f>
        <v>February</v>
      </c>
      <c r="D23" t="s">
        <v>88</v>
      </c>
      <c r="E23" t="s">
        <v>89</v>
      </c>
      <c r="F23" t="s">
        <v>17</v>
      </c>
      <c r="G23" t="s">
        <v>90</v>
      </c>
      <c r="H23" t="s">
        <v>42</v>
      </c>
      <c r="I23" t="s">
        <v>91</v>
      </c>
      <c r="J23">
        <v>1</v>
      </c>
      <c r="K23">
        <v>129.99</v>
      </c>
      <c r="L23">
        <f>SalesData[[#This Row],[Unit_Price]]*SalesData[[#This Row],[Quantity]]</f>
        <v>129.99</v>
      </c>
      <c r="M23">
        <v>20</v>
      </c>
      <c r="N23">
        <f>SalesData[[#This Row],[Subtotal]]*(SalesData[[#This Row],[Discount_Percent]]/100)</f>
        <v>25.998000000000005</v>
      </c>
      <c r="O23">
        <f>SalesData[[#This Row],[Subtotal]]-SalesData[[#This Row],[Discount_Amount]]</f>
        <v>103.992</v>
      </c>
      <c r="P23">
        <v>12.99</v>
      </c>
      <c r="Q23">
        <f>SUM(SalesData[[#This Row],[Net_Amount]]+SalesData[[#This Row],[Shipping_Cost]])</f>
        <v>116.982</v>
      </c>
      <c r="R23" t="str">
        <f>IF(SalesData[[#This Row],[Total Order Value]]&gt;200,"High Value",IF(SalesData[[#This Row],[Total Order Value]]&gt;100,"Medium Value","Low Value"))</f>
        <v>Medium Value</v>
      </c>
      <c r="S23" t="s">
        <v>21</v>
      </c>
      <c r="T23" t="s">
        <v>22</v>
      </c>
    </row>
    <row r="24" spans="1:20" x14ac:dyDescent="0.3">
      <c r="A24" t="s">
        <v>139</v>
      </c>
      <c r="B24" s="1">
        <v>45354</v>
      </c>
      <c r="C24" s="1" t="str">
        <f>TEXT(SalesData[[#This Row],[Order_Date]],"MMMM")</f>
        <v>March</v>
      </c>
      <c r="D24" t="s">
        <v>140</v>
      </c>
      <c r="E24" t="s">
        <v>141</v>
      </c>
      <c r="F24" t="s">
        <v>17</v>
      </c>
      <c r="G24" t="s">
        <v>90</v>
      </c>
      <c r="H24" t="s">
        <v>28</v>
      </c>
      <c r="I24" t="s">
        <v>142</v>
      </c>
      <c r="J24">
        <v>2</v>
      </c>
      <c r="K24">
        <v>54.99</v>
      </c>
      <c r="L24">
        <f>SalesData[[#This Row],[Unit_Price]]*SalesData[[#This Row],[Quantity]]</f>
        <v>109.98</v>
      </c>
      <c r="M24">
        <v>0</v>
      </c>
      <c r="N24">
        <f>SalesData[[#This Row],[Subtotal]]*(SalesData[[#This Row],[Discount_Percent]]/100)</f>
        <v>0</v>
      </c>
      <c r="O24">
        <f>SalesData[[#This Row],[Subtotal]]-SalesData[[#This Row],[Discount_Amount]]</f>
        <v>109.98</v>
      </c>
      <c r="P24">
        <v>8.5</v>
      </c>
      <c r="Q24">
        <f>SUM(SalesData[[#This Row],[Net_Amount]]+SalesData[[#This Row],[Shipping_Cost]])</f>
        <v>118.48</v>
      </c>
      <c r="R24" t="str">
        <f>IF(SalesData[[#This Row],[Total Order Value]]&gt;200,"High Value",IF(SalesData[[#This Row],[Total Order Value]]&gt;100,"Medium Value","Low Value"))</f>
        <v>Medium Value</v>
      </c>
      <c r="S24" t="s">
        <v>21</v>
      </c>
      <c r="T24" t="s">
        <v>22</v>
      </c>
    </row>
    <row r="25" spans="1:20" x14ac:dyDescent="0.3">
      <c r="A25" t="s">
        <v>106</v>
      </c>
      <c r="B25" s="1">
        <v>45334</v>
      </c>
      <c r="C25" s="1" t="str">
        <f>TEXT(SalesData[[#This Row],[Order_Date]],"MMMM")</f>
        <v>February</v>
      </c>
      <c r="D25" t="s">
        <v>107</v>
      </c>
      <c r="E25" t="s">
        <v>108</v>
      </c>
      <c r="F25" t="s">
        <v>17</v>
      </c>
      <c r="G25" t="s">
        <v>48</v>
      </c>
      <c r="H25" t="s">
        <v>19</v>
      </c>
      <c r="I25" t="s">
        <v>109</v>
      </c>
      <c r="J25">
        <v>1</v>
      </c>
      <c r="K25">
        <v>299.99</v>
      </c>
      <c r="L25">
        <f>SalesData[[#This Row],[Unit_Price]]*SalesData[[#This Row],[Quantity]]</f>
        <v>299.99</v>
      </c>
      <c r="M25">
        <v>10</v>
      </c>
      <c r="N25">
        <f>SalesData[[#This Row],[Subtotal]]*(SalesData[[#This Row],[Discount_Percent]]/100)</f>
        <v>29.999000000000002</v>
      </c>
      <c r="O25">
        <f>SalesData[[#This Row],[Subtotal]]-SalesData[[#This Row],[Discount_Amount]]</f>
        <v>269.99099999999999</v>
      </c>
      <c r="P25">
        <v>15.99</v>
      </c>
      <c r="Q25">
        <f>SUM(SalesData[[#This Row],[Net_Amount]]+SalesData[[#This Row],[Shipping_Cost]])</f>
        <v>285.98099999999999</v>
      </c>
      <c r="R25" t="str">
        <f>IF(SalesData[[#This Row],[Total Order Value]]&gt;200,"High Value",IF(SalesData[[#This Row],[Total Order Value]]&gt;100,"Medium Value","Low Value"))</f>
        <v>High Value</v>
      </c>
      <c r="S25" t="s">
        <v>21</v>
      </c>
      <c r="T25" t="s">
        <v>22</v>
      </c>
    </row>
    <row r="26" spans="1:20" x14ac:dyDescent="0.3">
      <c r="A26" t="s">
        <v>395</v>
      </c>
      <c r="B26" s="1">
        <v>45516</v>
      </c>
      <c r="C26" s="1" t="str">
        <f>TEXT(SalesData[[#This Row],[Order_Date]],"MMMM")</f>
        <v>August</v>
      </c>
      <c r="D26" t="s">
        <v>396</v>
      </c>
      <c r="E26" t="s">
        <v>397</v>
      </c>
      <c r="F26" t="s">
        <v>17</v>
      </c>
      <c r="G26" t="s">
        <v>48</v>
      </c>
      <c r="H26" t="s">
        <v>19</v>
      </c>
      <c r="I26" t="s">
        <v>398</v>
      </c>
      <c r="J26">
        <v>1</v>
      </c>
      <c r="K26">
        <v>399.99</v>
      </c>
      <c r="L26">
        <f>SalesData[[#This Row],[Unit_Price]]*SalesData[[#This Row],[Quantity]]</f>
        <v>399.99</v>
      </c>
      <c r="M26">
        <v>20</v>
      </c>
      <c r="N26">
        <f>SalesData[[#This Row],[Subtotal]]*(SalesData[[#This Row],[Discount_Percent]]/100)</f>
        <v>79.998000000000005</v>
      </c>
      <c r="O26">
        <f>SalesData[[#This Row],[Subtotal]]-SalesData[[#This Row],[Discount_Amount]]</f>
        <v>319.99200000000002</v>
      </c>
      <c r="P26">
        <v>19.989999999999998</v>
      </c>
      <c r="Q26">
        <f>SUM(SalesData[[#This Row],[Net_Amount]]+SalesData[[#This Row],[Shipping_Cost]])</f>
        <v>339.98200000000003</v>
      </c>
      <c r="R26" t="str">
        <f>IF(SalesData[[#This Row],[Total Order Value]]&gt;200,"High Value",IF(SalesData[[#This Row],[Total Order Value]]&gt;100,"Medium Value","Low Value"))</f>
        <v>High Value</v>
      </c>
      <c r="S26" t="s">
        <v>44</v>
      </c>
      <c r="T26" t="s">
        <v>22</v>
      </c>
    </row>
    <row r="27" spans="1:20" x14ac:dyDescent="0.3">
      <c r="A27" t="s">
        <v>303</v>
      </c>
      <c r="B27" s="1">
        <v>45458</v>
      </c>
      <c r="C27" s="1" t="str">
        <f>TEXT(SalesData[[#This Row],[Order_Date]],"MMMM")</f>
        <v>June</v>
      </c>
      <c r="D27" t="s">
        <v>304</v>
      </c>
      <c r="E27" t="s">
        <v>305</v>
      </c>
      <c r="F27" t="s">
        <v>26</v>
      </c>
      <c r="G27" t="s">
        <v>27</v>
      </c>
      <c r="H27" t="s">
        <v>28</v>
      </c>
      <c r="I27" t="s">
        <v>306</v>
      </c>
      <c r="J27">
        <v>2</v>
      </c>
      <c r="K27">
        <v>24.99</v>
      </c>
      <c r="L27">
        <f>SalesData[[#This Row],[Unit_Price]]*SalesData[[#This Row],[Quantity]]</f>
        <v>49.98</v>
      </c>
      <c r="M27">
        <v>15</v>
      </c>
      <c r="N27">
        <f>SalesData[[#This Row],[Subtotal]]*(SalesData[[#This Row],[Discount_Percent]]/100)</f>
        <v>7.496999999999999</v>
      </c>
      <c r="O27">
        <f>SalesData[[#This Row],[Subtotal]]-SalesData[[#This Row],[Discount_Amount]]</f>
        <v>42.482999999999997</v>
      </c>
      <c r="P27">
        <v>5.5</v>
      </c>
      <c r="Q27">
        <f>SUM(SalesData[[#This Row],[Net_Amount]]+SalesData[[#This Row],[Shipping_Cost]])</f>
        <v>47.982999999999997</v>
      </c>
      <c r="R27" t="str">
        <f>IF(SalesData[[#This Row],[Total Order Value]]&gt;200,"High Value",IF(SalesData[[#This Row],[Total Order Value]]&gt;100,"Medium Value","Low Value"))</f>
        <v>Low Value</v>
      </c>
      <c r="S27" t="s">
        <v>30</v>
      </c>
      <c r="T27" t="s">
        <v>22</v>
      </c>
    </row>
    <row r="28" spans="1:20" x14ac:dyDescent="0.3">
      <c r="A28" t="s">
        <v>207</v>
      </c>
      <c r="B28" s="1">
        <v>45397</v>
      </c>
      <c r="C28" s="1" t="str">
        <f>TEXT(SalesData[[#This Row],[Order_Date]],"MMMM")</f>
        <v>April</v>
      </c>
      <c r="D28" t="s">
        <v>208</v>
      </c>
      <c r="E28" t="s">
        <v>209</v>
      </c>
      <c r="F28" t="s">
        <v>26</v>
      </c>
      <c r="G28" t="s">
        <v>76</v>
      </c>
      <c r="H28" t="s">
        <v>59</v>
      </c>
      <c r="I28" t="s">
        <v>210</v>
      </c>
      <c r="J28">
        <v>1</v>
      </c>
      <c r="K28">
        <v>44.99</v>
      </c>
      <c r="L28">
        <f>SalesData[[#This Row],[Unit_Price]]*SalesData[[#This Row],[Quantity]]</f>
        <v>44.99</v>
      </c>
      <c r="M28">
        <v>0</v>
      </c>
      <c r="N28">
        <f>SalesData[[#This Row],[Subtotal]]*(SalesData[[#This Row],[Discount_Percent]]/100)</f>
        <v>0</v>
      </c>
      <c r="O28">
        <f>SalesData[[#This Row],[Subtotal]]-SalesData[[#This Row],[Discount_Amount]]</f>
        <v>44.99</v>
      </c>
      <c r="P28">
        <v>4.5</v>
      </c>
      <c r="Q28">
        <f>SUM(SalesData[[#This Row],[Net_Amount]]+SalesData[[#This Row],[Shipping_Cost]])</f>
        <v>49.49</v>
      </c>
      <c r="R28" t="str">
        <f>IF(SalesData[[#This Row],[Total Order Value]]&gt;200,"High Value",IF(SalesData[[#This Row],[Total Order Value]]&gt;100,"Medium Value","Low Value"))</f>
        <v>Low Value</v>
      </c>
      <c r="S28" t="s">
        <v>30</v>
      </c>
      <c r="T28" t="s">
        <v>22</v>
      </c>
    </row>
    <row r="29" spans="1:20" x14ac:dyDescent="0.3">
      <c r="A29" t="s">
        <v>287</v>
      </c>
      <c r="B29" s="1">
        <v>45448</v>
      </c>
      <c r="C29" s="1" t="str">
        <f>TEXT(SalesData[[#This Row],[Order_Date]],"MMMM")</f>
        <v>June</v>
      </c>
      <c r="D29" t="s">
        <v>288</v>
      </c>
      <c r="E29" t="s">
        <v>289</v>
      </c>
      <c r="F29" t="s">
        <v>26</v>
      </c>
      <c r="G29" t="s">
        <v>95</v>
      </c>
      <c r="H29" t="s">
        <v>19</v>
      </c>
      <c r="I29" t="s">
        <v>290</v>
      </c>
      <c r="J29">
        <v>3</v>
      </c>
      <c r="K29">
        <v>19.989999999999998</v>
      </c>
      <c r="L29">
        <f>SalesData[[#This Row],[Unit_Price]]*SalesData[[#This Row],[Quantity]]</f>
        <v>59.97</v>
      </c>
      <c r="M29">
        <v>20</v>
      </c>
      <c r="N29">
        <f>SalesData[[#This Row],[Subtotal]]*(SalesData[[#This Row],[Discount_Percent]]/100)</f>
        <v>11.994</v>
      </c>
      <c r="O29">
        <f>SalesData[[#This Row],[Subtotal]]-SalesData[[#This Row],[Discount_Amount]]</f>
        <v>47.975999999999999</v>
      </c>
      <c r="P29">
        <v>4.5</v>
      </c>
      <c r="Q29">
        <f>SUM(SalesData[[#This Row],[Net_Amount]]+SalesData[[#This Row],[Shipping_Cost]])</f>
        <v>52.475999999999999</v>
      </c>
      <c r="R29" t="str">
        <f>IF(SalesData[[#This Row],[Total Order Value]]&gt;200,"High Value",IF(SalesData[[#This Row],[Total Order Value]]&gt;100,"Medium Value","Low Value"))</f>
        <v>Low Value</v>
      </c>
      <c r="S29" t="s">
        <v>21</v>
      </c>
      <c r="T29" t="s">
        <v>22</v>
      </c>
    </row>
    <row r="30" spans="1:20" x14ac:dyDescent="0.3">
      <c r="A30" t="s">
        <v>23</v>
      </c>
      <c r="B30" s="1">
        <v>45298</v>
      </c>
      <c r="C30" s="1" t="str">
        <f>TEXT(SalesData[[#This Row],[Order_Date]],"MMMM")</f>
        <v>January</v>
      </c>
      <c r="D30" t="s">
        <v>24</v>
      </c>
      <c r="E30" t="s">
        <v>25</v>
      </c>
      <c r="F30" t="s">
        <v>26</v>
      </c>
      <c r="G30" t="s">
        <v>27</v>
      </c>
      <c r="H30" t="s">
        <v>28</v>
      </c>
      <c r="I30" t="s">
        <v>29</v>
      </c>
      <c r="J30">
        <v>1</v>
      </c>
      <c r="K30">
        <v>45.5</v>
      </c>
      <c r="L30">
        <f>SalesData[[#This Row],[Unit_Price]]*SalesData[[#This Row],[Quantity]]</f>
        <v>45.5</v>
      </c>
      <c r="M30">
        <v>0</v>
      </c>
      <c r="N30">
        <f>SalesData[[#This Row],[Subtotal]]*(SalesData[[#This Row],[Discount_Percent]]/100)</f>
        <v>0</v>
      </c>
      <c r="O30">
        <f>SalesData[[#This Row],[Subtotal]]-SalesData[[#This Row],[Discount_Amount]]</f>
        <v>45.5</v>
      </c>
      <c r="P30">
        <v>7.5</v>
      </c>
      <c r="Q30">
        <f>SUM(SalesData[[#This Row],[Net_Amount]]+SalesData[[#This Row],[Shipping_Cost]])</f>
        <v>53</v>
      </c>
      <c r="R30" t="str">
        <f>IF(SalesData[[#This Row],[Total Order Value]]&gt;200,"High Value",IF(SalesData[[#This Row],[Total Order Value]]&gt;100,"Medium Value","Low Value"))</f>
        <v>Low Value</v>
      </c>
      <c r="S30" t="s">
        <v>30</v>
      </c>
      <c r="T30" t="s">
        <v>22</v>
      </c>
    </row>
    <row r="31" spans="1:20" x14ac:dyDescent="0.3">
      <c r="A31" t="s">
        <v>351</v>
      </c>
      <c r="B31" s="1">
        <v>45488</v>
      </c>
      <c r="C31" s="1" t="str">
        <f>TEXT(SalesData[[#This Row],[Order_Date]],"MMMM")</f>
        <v>July</v>
      </c>
      <c r="D31" t="s">
        <v>352</v>
      </c>
      <c r="E31" t="s">
        <v>353</v>
      </c>
      <c r="F31" t="s">
        <v>26</v>
      </c>
      <c r="G31" t="s">
        <v>95</v>
      </c>
      <c r="H31" t="s">
        <v>59</v>
      </c>
      <c r="I31" t="s">
        <v>354</v>
      </c>
      <c r="J31">
        <v>1</v>
      </c>
      <c r="K31">
        <v>49.99</v>
      </c>
      <c r="L31">
        <f>SalesData[[#This Row],[Unit_Price]]*SalesData[[#This Row],[Quantity]]</f>
        <v>49.99</v>
      </c>
      <c r="M31">
        <v>0</v>
      </c>
      <c r="N31">
        <f>SalesData[[#This Row],[Subtotal]]*(SalesData[[#This Row],[Discount_Percent]]/100)</f>
        <v>0</v>
      </c>
      <c r="O31">
        <f>SalesData[[#This Row],[Subtotal]]-SalesData[[#This Row],[Discount_Amount]]</f>
        <v>49.99</v>
      </c>
      <c r="P31">
        <v>4.99</v>
      </c>
      <c r="Q31">
        <f>SUM(SalesData[[#This Row],[Net_Amount]]+SalesData[[#This Row],[Shipping_Cost]])</f>
        <v>54.980000000000004</v>
      </c>
      <c r="R31" t="str">
        <f>IF(SalesData[[#This Row],[Total Order Value]]&gt;200,"High Value",IF(SalesData[[#This Row],[Total Order Value]]&gt;100,"Medium Value","Low Value"))</f>
        <v>Low Value</v>
      </c>
      <c r="S31" t="s">
        <v>21</v>
      </c>
      <c r="T31" t="s">
        <v>22</v>
      </c>
    </row>
    <row r="32" spans="1:20" x14ac:dyDescent="0.3">
      <c r="A32" t="s">
        <v>223</v>
      </c>
      <c r="B32" s="1">
        <v>45407</v>
      </c>
      <c r="C32" s="1" t="str">
        <f>TEXT(SalesData[[#This Row],[Order_Date]],"MMMM")</f>
        <v>April</v>
      </c>
      <c r="D32" t="s">
        <v>224</v>
      </c>
      <c r="E32" t="s">
        <v>225</v>
      </c>
      <c r="F32" t="s">
        <v>26</v>
      </c>
      <c r="G32" t="s">
        <v>95</v>
      </c>
      <c r="H32" t="s">
        <v>59</v>
      </c>
      <c r="I32" t="s">
        <v>226</v>
      </c>
      <c r="J32">
        <v>2</v>
      </c>
      <c r="K32">
        <v>29.99</v>
      </c>
      <c r="L32">
        <f>SalesData[[#This Row],[Unit_Price]]*SalesData[[#This Row],[Quantity]]</f>
        <v>59.98</v>
      </c>
      <c r="M32">
        <v>15</v>
      </c>
      <c r="N32">
        <f>SalesData[[#This Row],[Subtotal]]*(SalesData[[#This Row],[Discount_Percent]]/100)</f>
        <v>8.9969999999999999</v>
      </c>
      <c r="O32">
        <f>SalesData[[#This Row],[Subtotal]]-SalesData[[#This Row],[Discount_Amount]]</f>
        <v>50.982999999999997</v>
      </c>
      <c r="P32">
        <v>4.99</v>
      </c>
      <c r="Q32">
        <f>SUM(SalesData[[#This Row],[Net_Amount]]+SalesData[[#This Row],[Shipping_Cost]])</f>
        <v>55.972999999999999</v>
      </c>
      <c r="R32" t="str">
        <f>IF(SalesData[[#This Row],[Total Order Value]]&gt;200,"High Value",IF(SalesData[[#This Row],[Total Order Value]]&gt;100,"Medium Value","Low Value"))</f>
        <v>Low Value</v>
      </c>
      <c r="S32" t="s">
        <v>21</v>
      </c>
      <c r="T32" t="s">
        <v>22</v>
      </c>
    </row>
    <row r="33" spans="1:20" x14ac:dyDescent="0.3">
      <c r="A33" t="s">
        <v>335</v>
      </c>
      <c r="B33" s="1">
        <v>45478</v>
      </c>
      <c r="C33" s="1" t="str">
        <f>TEXT(SalesData[[#This Row],[Order_Date]],"MMMM")</f>
        <v>July</v>
      </c>
      <c r="D33" t="s">
        <v>336</v>
      </c>
      <c r="E33" t="s">
        <v>337</v>
      </c>
      <c r="F33" t="s">
        <v>26</v>
      </c>
      <c r="G33" t="s">
        <v>76</v>
      </c>
      <c r="H33" t="s">
        <v>19</v>
      </c>
      <c r="I33" t="s">
        <v>338</v>
      </c>
      <c r="J33">
        <v>1</v>
      </c>
      <c r="K33">
        <v>59.99</v>
      </c>
      <c r="L33">
        <f>SalesData[[#This Row],[Unit_Price]]*SalesData[[#This Row],[Quantity]]</f>
        <v>59.99</v>
      </c>
      <c r="M33">
        <v>20</v>
      </c>
      <c r="N33">
        <f>SalesData[[#This Row],[Subtotal]]*(SalesData[[#This Row],[Discount_Percent]]/100)</f>
        <v>11.998000000000001</v>
      </c>
      <c r="O33">
        <f>SalesData[[#This Row],[Subtotal]]-SalesData[[#This Row],[Discount_Amount]]</f>
        <v>47.992000000000004</v>
      </c>
      <c r="P33">
        <v>7.99</v>
      </c>
      <c r="Q33">
        <f>SUM(SalesData[[#This Row],[Net_Amount]]+SalesData[[#This Row],[Shipping_Cost]])</f>
        <v>55.982000000000006</v>
      </c>
      <c r="R33" t="str">
        <f>IF(SalesData[[#This Row],[Total Order Value]]&gt;200,"High Value",IF(SalesData[[#This Row],[Total Order Value]]&gt;100,"Medium Value","Low Value"))</f>
        <v>Low Value</v>
      </c>
      <c r="S33" t="s">
        <v>21</v>
      </c>
      <c r="T33" t="s">
        <v>72</v>
      </c>
    </row>
    <row r="34" spans="1:20" x14ac:dyDescent="0.3">
      <c r="A34" t="s">
        <v>255</v>
      </c>
      <c r="B34" s="1">
        <v>45427</v>
      </c>
      <c r="C34" s="1" t="str">
        <f>TEXT(SalesData[[#This Row],[Order_Date]],"MMMM")</f>
        <v>May</v>
      </c>
      <c r="D34" t="s">
        <v>256</v>
      </c>
      <c r="E34" t="s">
        <v>257</v>
      </c>
      <c r="F34" t="s">
        <v>26</v>
      </c>
      <c r="G34" t="s">
        <v>53</v>
      </c>
      <c r="H34" t="s">
        <v>42</v>
      </c>
      <c r="I34" t="s">
        <v>258</v>
      </c>
      <c r="J34">
        <v>1</v>
      </c>
      <c r="K34">
        <v>64.989999999999995</v>
      </c>
      <c r="L34">
        <f>SalesData[[#This Row],[Unit_Price]]*SalesData[[#This Row],[Quantity]]</f>
        <v>64.989999999999995</v>
      </c>
      <c r="M34">
        <v>20</v>
      </c>
      <c r="N34">
        <f>SalesData[[#This Row],[Subtotal]]*(SalesData[[#This Row],[Discount_Percent]]/100)</f>
        <v>12.997999999999999</v>
      </c>
      <c r="O34">
        <f>SalesData[[#This Row],[Subtotal]]-SalesData[[#This Row],[Discount_Amount]]</f>
        <v>51.991999999999997</v>
      </c>
      <c r="P34">
        <v>7.99</v>
      </c>
      <c r="Q34">
        <f>SUM(SalesData[[#This Row],[Net_Amount]]+SalesData[[#This Row],[Shipping_Cost]])</f>
        <v>59.981999999999999</v>
      </c>
      <c r="R34" t="str">
        <f>IF(SalesData[[#This Row],[Total Order Value]]&gt;200,"High Value",IF(SalesData[[#This Row],[Total Order Value]]&gt;100,"Medium Value","Low Value"))</f>
        <v>Low Value</v>
      </c>
      <c r="S34" t="s">
        <v>44</v>
      </c>
      <c r="T34" t="s">
        <v>22</v>
      </c>
    </row>
    <row r="35" spans="1:20" x14ac:dyDescent="0.3">
      <c r="A35" t="s">
        <v>367</v>
      </c>
      <c r="B35" s="1">
        <v>45498</v>
      </c>
      <c r="C35" s="1" t="str">
        <f>TEXT(SalesData[[#This Row],[Order_Date]],"MMMM")</f>
        <v>July</v>
      </c>
      <c r="D35" t="s">
        <v>368</v>
      </c>
      <c r="E35" t="s">
        <v>369</v>
      </c>
      <c r="F35" t="s">
        <v>26</v>
      </c>
      <c r="G35" t="s">
        <v>27</v>
      </c>
      <c r="H35" t="s">
        <v>59</v>
      </c>
      <c r="I35" t="s">
        <v>370</v>
      </c>
      <c r="J35">
        <v>2</v>
      </c>
      <c r="K35">
        <v>34.99</v>
      </c>
      <c r="L35">
        <f>SalesData[[#This Row],[Unit_Price]]*SalesData[[#This Row],[Quantity]]</f>
        <v>69.98</v>
      </c>
      <c r="M35">
        <v>15</v>
      </c>
      <c r="N35">
        <f>SalesData[[#This Row],[Subtotal]]*(SalesData[[#This Row],[Discount_Percent]]/100)</f>
        <v>10.497</v>
      </c>
      <c r="O35">
        <f>SalesData[[#This Row],[Subtotal]]-SalesData[[#This Row],[Discount_Amount]]</f>
        <v>59.483000000000004</v>
      </c>
      <c r="P35">
        <v>4.5</v>
      </c>
      <c r="Q35">
        <f>SUM(SalesData[[#This Row],[Net_Amount]]+SalesData[[#This Row],[Shipping_Cost]])</f>
        <v>63.983000000000004</v>
      </c>
      <c r="R35" t="str">
        <f>IF(SalesData[[#This Row],[Total Order Value]]&gt;200,"High Value",IF(SalesData[[#This Row],[Total Order Value]]&gt;100,"Medium Value","Low Value"))</f>
        <v>Low Value</v>
      </c>
      <c r="S35" t="s">
        <v>44</v>
      </c>
      <c r="T35" t="s">
        <v>72</v>
      </c>
    </row>
    <row r="36" spans="1:20" x14ac:dyDescent="0.3">
      <c r="A36" t="s">
        <v>399</v>
      </c>
      <c r="B36" s="1">
        <v>45519</v>
      </c>
      <c r="C36" s="1" t="str">
        <f>TEXT(SalesData[[#This Row],[Order_Date]],"MMMM")</f>
        <v>August</v>
      </c>
      <c r="D36" t="s">
        <v>400</v>
      </c>
      <c r="E36" t="s">
        <v>401</v>
      </c>
      <c r="F36" t="s">
        <v>26</v>
      </c>
      <c r="G36" t="s">
        <v>76</v>
      </c>
      <c r="H36" t="s">
        <v>42</v>
      </c>
      <c r="I36" t="s">
        <v>402</v>
      </c>
      <c r="J36">
        <v>2</v>
      </c>
      <c r="K36">
        <v>34.99</v>
      </c>
      <c r="L36">
        <f>SalesData[[#This Row],[Unit_Price]]*SalesData[[#This Row],[Quantity]]</f>
        <v>69.98</v>
      </c>
      <c r="M36">
        <v>10</v>
      </c>
      <c r="N36">
        <f>SalesData[[#This Row],[Subtotal]]*(SalesData[[#This Row],[Discount_Percent]]/100)</f>
        <v>6.9980000000000011</v>
      </c>
      <c r="O36">
        <f>SalesData[[#This Row],[Subtotal]]-SalesData[[#This Row],[Discount_Amount]]</f>
        <v>62.981999999999999</v>
      </c>
      <c r="P36">
        <v>5.99</v>
      </c>
      <c r="Q36">
        <f>SUM(SalesData[[#This Row],[Net_Amount]]+SalesData[[#This Row],[Shipping_Cost]])</f>
        <v>68.971999999999994</v>
      </c>
      <c r="R36" t="str">
        <f>IF(SalesData[[#This Row],[Total Order Value]]&gt;200,"High Value",IF(SalesData[[#This Row],[Total Order Value]]&gt;100,"Medium Value","Low Value"))</f>
        <v>Low Value</v>
      </c>
      <c r="S36" t="s">
        <v>21</v>
      </c>
      <c r="T36" t="s">
        <v>22</v>
      </c>
    </row>
    <row r="37" spans="1:20" x14ac:dyDescent="0.3">
      <c r="A37" t="s">
        <v>415</v>
      </c>
      <c r="B37" s="1">
        <v>45529</v>
      </c>
      <c r="C37" s="1" t="str">
        <f>TEXT(SalesData[[#This Row],[Order_Date]],"MMMM")</f>
        <v>August</v>
      </c>
      <c r="D37" t="s">
        <v>416</v>
      </c>
      <c r="E37" t="s">
        <v>417</v>
      </c>
      <c r="F37" t="s">
        <v>26</v>
      </c>
      <c r="G37" t="s">
        <v>95</v>
      </c>
      <c r="H37" t="s">
        <v>42</v>
      </c>
      <c r="I37" t="s">
        <v>418</v>
      </c>
      <c r="J37">
        <v>2</v>
      </c>
      <c r="K37">
        <v>44.99</v>
      </c>
      <c r="L37">
        <f>SalesData[[#This Row],[Unit_Price]]*SalesData[[#This Row],[Quantity]]</f>
        <v>89.98</v>
      </c>
      <c r="M37">
        <v>25</v>
      </c>
      <c r="N37">
        <f>SalesData[[#This Row],[Subtotal]]*(SalesData[[#This Row],[Discount_Percent]]/100)</f>
        <v>22.495000000000001</v>
      </c>
      <c r="O37">
        <f>SalesData[[#This Row],[Subtotal]]-SalesData[[#This Row],[Discount_Amount]]</f>
        <v>67.484999999999999</v>
      </c>
      <c r="P37">
        <v>6.5</v>
      </c>
      <c r="Q37">
        <f>SUM(SalesData[[#This Row],[Net_Amount]]+SalesData[[#This Row],[Shipping_Cost]])</f>
        <v>73.984999999999999</v>
      </c>
      <c r="R37" t="str">
        <f>IF(SalesData[[#This Row],[Total Order Value]]&gt;200,"High Value",IF(SalesData[[#This Row],[Total Order Value]]&gt;100,"Medium Value","Low Value"))</f>
        <v>Low Value</v>
      </c>
      <c r="S37" t="s">
        <v>30</v>
      </c>
      <c r="T37" t="s">
        <v>22</v>
      </c>
    </row>
    <row r="38" spans="1:20" x14ac:dyDescent="0.3">
      <c r="A38" t="s">
        <v>143</v>
      </c>
      <c r="B38" s="1">
        <v>45356</v>
      </c>
      <c r="C38" s="1" t="str">
        <f>TEXT(SalesData[[#This Row],[Order_Date]],"MMMM")</f>
        <v>March</v>
      </c>
      <c r="D38" t="s">
        <v>144</v>
      </c>
      <c r="E38" t="s">
        <v>145</v>
      </c>
      <c r="F38" t="s">
        <v>26</v>
      </c>
      <c r="G38" t="s">
        <v>76</v>
      </c>
      <c r="H38" t="s">
        <v>19</v>
      </c>
      <c r="I38" t="s">
        <v>146</v>
      </c>
      <c r="J38">
        <v>4</v>
      </c>
      <c r="K38">
        <v>19.989999999999998</v>
      </c>
      <c r="L38">
        <f>SalesData[[#This Row],[Unit_Price]]*SalesData[[#This Row],[Quantity]]</f>
        <v>79.959999999999994</v>
      </c>
      <c r="M38">
        <v>10</v>
      </c>
      <c r="N38">
        <f>SalesData[[#This Row],[Subtotal]]*(SalesData[[#This Row],[Discount_Percent]]/100)</f>
        <v>7.9959999999999996</v>
      </c>
      <c r="O38">
        <f>SalesData[[#This Row],[Subtotal]]-SalesData[[#This Row],[Discount_Amount]]</f>
        <v>71.963999999999999</v>
      </c>
      <c r="P38">
        <v>3.99</v>
      </c>
      <c r="Q38">
        <f>SUM(SalesData[[#This Row],[Net_Amount]]+SalesData[[#This Row],[Shipping_Cost]])</f>
        <v>75.953999999999994</v>
      </c>
      <c r="R38" t="str">
        <f>IF(SalesData[[#This Row],[Total Order Value]]&gt;200,"High Value",IF(SalesData[[#This Row],[Total Order Value]]&gt;100,"Medium Value","Low Value"))</f>
        <v>Low Value</v>
      </c>
      <c r="S38" t="s">
        <v>44</v>
      </c>
      <c r="T38" t="s">
        <v>22</v>
      </c>
    </row>
    <row r="39" spans="1:20" x14ac:dyDescent="0.3">
      <c r="A39" t="s">
        <v>159</v>
      </c>
      <c r="B39" s="1">
        <v>45366</v>
      </c>
      <c r="C39" s="1" t="str">
        <f>TEXT(SalesData[[#This Row],[Order_Date]],"MMMM")</f>
        <v>March</v>
      </c>
      <c r="D39" t="s">
        <v>160</v>
      </c>
      <c r="E39" t="s">
        <v>161</v>
      </c>
      <c r="F39" t="s">
        <v>26</v>
      </c>
      <c r="G39" t="s">
        <v>95</v>
      </c>
      <c r="H39" t="s">
        <v>28</v>
      </c>
      <c r="I39" t="s">
        <v>162</v>
      </c>
      <c r="J39">
        <v>5</v>
      </c>
      <c r="K39">
        <v>14.99</v>
      </c>
      <c r="L39">
        <f>SalesData[[#This Row],[Unit_Price]]*SalesData[[#This Row],[Quantity]]</f>
        <v>74.95</v>
      </c>
      <c r="M39">
        <v>5</v>
      </c>
      <c r="N39">
        <f>SalesData[[#This Row],[Subtotal]]*(SalesData[[#This Row],[Discount_Percent]]/100)</f>
        <v>3.7475000000000005</v>
      </c>
      <c r="O39">
        <f>SalesData[[#This Row],[Subtotal]]-SalesData[[#This Row],[Discount_Amount]]</f>
        <v>71.202500000000001</v>
      </c>
      <c r="P39">
        <v>4.99</v>
      </c>
      <c r="Q39">
        <f>SUM(SalesData[[#This Row],[Net_Amount]]+SalesData[[#This Row],[Shipping_Cost]])</f>
        <v>76.192499999999995</v>
      </c>
      <c r="R39" t="str">
        <f>IF(SalesData[[#This Row],[Total Order Value]]&gt;200,"High Value",IF(SalesData[[#This Row],[Total Order Value]]&gt;100,"Medium Value","Low Value"))</f>
        <v>Low Value</v>
      </c>
      <c r="S39" t="s">
        <v>44</v>
      </c>
      <c r="T39" t="s">
        <v>72</v>
      </c>
    </row>
    <row r="40" spans="1:20" x14ac:dyDescent="0.3">
      <c r="A40" t="s">
        <v>127</v>
      </c>
      <c r="B40" s="1">
        <v>45347</v>
      </c>
      <c r="C40" s="1" t="str">
        <f>TEXT(SalesData[[#This Row],[Order_Date]],"MMMM")</f>
        <v>February</v>
      </c>
      <c r="D40" t="s">
        <v>128</v>
      </c>
      <c r="E40" t="s">
        <v>129</v>
      </c>
      <c r="F40" t="s">
        <v>26</v>
      </c>
      <c r="G40" t="s">
        <v>53</v>
      </c>
      <c r="H40" t="s">
        <v>42</v>
      </c>
      <c r="I40" t="s">
        <v>130</v>
      </c>
      <c r="J40">
        <v>1</v>
      </c>
      <c r="K40">
        <v>89.99</v>
      </c>
      <c r="L40">
        <f>SalesData[[#This Row],[Unit_Price]]*SalesData[[#This Row],[Quantity]]</f>
        <v>89.99</v>
      </c>
      <c r="M40">
        <v>25</v>
      </c>
      <c r="N40">
        <f>SalesData[[#This Row],[Subtotal]]*(SalesData[[#This Row],[Discount_Percent]]/100)</f>
        <v>22.497499999999999</v>
      </c>
      <c r="O40">
        <f>SalesData[[#This Row],[Subtotal]]-SalesData[[#This Row],[Discount_Amount]]</f>
        <v>67.492499999999993</v>
      </c>
      <c r="P40">
        <v>9.99</v>
      </c>
      <c r="Q40">
        <f>SUM(SalesData[[#This Row],[Net_Amount]]+SalesData[[#This Row],[Shipping_Cost]])</f>
        <v>77.482499999999987</v>
      </c>
      <c r="R40" t="str">
        <f>IF(SalesData[[#This Row],[Total Order Value]]&gt;200,"High Value",IF(SalesData[[#This Row],[Total Order Value]]&gt;100,"Medium Value","Low Value"))</f>
        <v>Low Value</v>
      </c>
      <c r="S40" t="s">
        <v>44</v>
      </c>
      <c r="T40" t="s">
        <v>22</v>
      </c>
    </row>
    <row r="41" spans="1:20" x14ac:dyDescent="0.3">
      <c r="A41" t="s">
        <v>110</v>
      </c>
      <c r="B41" s="1">
        <v>45337</v>
      </c>
      <c r="C41" s="1" t="str">
        <f>TEXT(SalesData[[#This Row],[Order_Date]],"MMMM")</f>
        <v>February</v>
      </c>
      <c r="D41" t="s">
        <v>111</v>
      </c>
      <c r="E41" t="s">
        <v>112</v>
      </c>
      <c r="F41" t="s">
        <v>26</v>
      </c>
      <c r="G41" t="s">
        <v>27</v>
      </c>
      <c r="H41" t="s">
        <v>42</v>
      </c>
      <c r="I41" t="s">
        <v>113</v>
      </c>
      <c r="J41">
        <v>2</v>
      </c>
      <c r="K41">
        <v>44.99</v>
      </c>
      <c r="L41">
        <f>SalesData[[#This Row],[Unit_Price]]*SalesData[[#This Row],[Quantity]]</f>
        <v>89.98</v>
      </c>
      <c r="M41">
        <v>20</v>
      </c>
      <c r="N41">
        <f>SalesData[[#This Row],[Subtotal]]*(SalesData[[#This Row],[Discount_Percent]]/100)</f>
        <v>17.996000000000002</v>
      </c>
      <c r="O41">
        <f>SalesData[[#This Row],[Subtotal]]-SalesData[[#This Row],[Discount_Amount]]</f>
        <v>71.984000000000009</v>
      </c>
      <c r="P41">
        <v>6.5</v>
      </c>
      <c r="Q41">
        <f>SUM(SalesData[[#This Row],[Net_Amount]]+SalesData[[#This Row],[Shipping_Cost]])</f>
        <v>78.484000000000009</v>
      </c>
      <c r="R41" t="str">
        <f>IF(SalesData[[#This Row],[Total Order Value]]&gt;200,"High Value",IF(SalesData[[#This Row],[Total Order Value]]&gt;100,"Medium Value","Low Value"))</f>
        <v>Low Value</v>
      </c>
      <c r="S41" t="s">
        <v>44</v>
      </c>
      <c r="T41" t="s">
        <v>22</v>
      </c>
    </row>
    <row r="42" spans="1:20" x14ac:dyDescent="0.3">
      <c r="A42" t="s">
        <v>50</v>
      </c>
      <c r="B42" s="1">
        <v>45306</v>
      </c>
      <c r="C42" s="1" t="str">
        <f>TEXT(SalesData[[#This Row],[Order_Date]],"MMMM")</f>
        <v>January</v>
      </c>
      <c r="D42" t="s">
        <v>51</v>
      </c>
      <c r="E42" t="s">
        <v>52</v>
      </c>
      <c r="F42" t="s">
        <v>26</v>
      </c>
      <c r="G42" t="s">
        <v>53</v>
      </c>
      <c r="H42" t="s">
        <v>28</v>
      </c>
      <c r="I42" t="s">
        <v>54</v>
      </c>
      <c r="J42">
        <v>2</v>
      </c>
      <c r="K42">
        <v>34.99</v>
      </c>
      <c r="L42">
        <f>SalesData[[#This Row],[Unit_Price]]*SalesData[[#This Row],[Quantity]]</f>
        <v>69.98</v>
      </c>
      <c r="M42">
        <v>0</v>
      </c>
      <c r="N42">
        <f>SalesData[[#This Row],[Subtotal]]*(SalesData[[#This Row],[Discount_Percent]]/100)</f>
        <v>0</v>
      </c>
      <c r="O42">
        <f>SalesData[[#This Row],[Subtotal]]-SalesData[[#This Row],[Discount_Amount]]</f>
        <v>69.98</v>
      </c>
      <c r="P42">
        <v>9.99</v>
      </c>
      <c r="Q42">
        <f>SUM(SalesData[[#This Row],[Net_Amount]]+SalesData[[#This Row],[Shipping_Cost]])</f>
        <v>79.97</v>
      </c>
      <c r="R42" t="str">
        <f>IF(SalesData[[#This Row],[Total Order Value]]&gt;200,"High Value",IF(SalesData[[#This Row],[Total Order Value]]&gt;100,"Medium Value","Low Value"))</f>
        <v>Low Value</v>
      </c>
      <c r="S42" t="s">
        <v>30</v>
      </c>
      <c r="T42" t="s">
        <v>22</v>
      </c>
    </row>
    <row r="43" spans="1:20" x14ac:dyDescent="0.3">
      <c r="A43" t="s">
        <v>73</v>
      </c>
      <c r="B43" s="1">
        <v>45316</v>
      </c>
      <c r="C43" s="1" t="str">
        <f>TEXT(SalesData[[#This Row],[Order_Date]],"MMMM")</f>
        <v>January</v>
      </c>
      <c r="D43" t="s">
        <v>74</v>
      </c>
      <c r="E43" t="s">
        <v>75</v>
      </c>
      <c r="F43" t="s">
        <v>26</v>
      </c>
      <c r="G43" t="s">
        <v>76</v>
      </c>
      <c r="H43" t="s">
        <v>59</v>
      </c>
      <c r="I43" t="s">
        <v>77</v>
      </c>
      <c r="J43">
        <v>2</v>
      </c>
      <c r="K43">
        <v>39.99</v>
      </c>
      <c r="L43">
        <f>SalesData[[#This Row],[Unit_Price]]*SalesData[[#This Row],[Quantity]]</f>
        <v>79.98</v>
      </c>
      <c r="M43">
        <v>5</v>
      </c>
      <c r="N43">
        <f>SalesData[[#This Row],[Subtotal]]*(SalesData[[#This Row],[Discount_Percent]]/100)</f>
        <v>3.9990000000000006</v>
      </c>
      <c r="O43">
        <f>SalesData[[#This Row],[Subtotal]]-SalesData[[#This Row],[Discount_Amount]]</f>
        <v>75.981000000000009</v>
      </c>
      <c r="P43">
        <v>4.5</v>
      </c>
      <c r="Q43">
        <f>SUM(SalesData[[#This Row],[Net_Amount]]+SalesData[[#This Row],[Shipping_Cost]])</f>
        <v>80.481000000000009</v>
      </c>
      <c r="R43" t="str">
        <f>IF(SalesData[[#This Row],[Total Order Value]]&gt;200,"High Value",IF(SalesData[[#This Row],[Total Order Value]]&gt;100,"Medium Value","Low Value"))</f>
        <v>Low Value</v>
      </c>
      <c r="S43" t="s">
        <v>30</v>
      </c>
      <c r="T43" t="s">
        <v>22</v>
      </c>
    </row>
    <row r="44" spans="1:20" x14ac:dyDescent="0.3">
      <c r="A44" t="s">
        <v>271</v>
      </c>
      <c r="B44" s="1">
        <v>45437</v>
      </c>
      <c r="C44" s="1" t="str">
        <f>TEXT(SalesData[[#This Row],[Order_Date]],"MMMM")</f>
        <v>May</v>
      </c>
      <c r="D44" t="s">
        <v>272</v>
      </c>
      <c r="E44" t="s">
        <v>273</v>
      </c>
      <c r="F44" t="s">
        <v>26</v>
      </c>
      <c r="G44" t="s">
        <v>76</v>
      </c>
      <c r="H44" t="s">
        <v>42</v>
      </c>
      <c r="I44" t="s">
        <v>274</v>
      </c>
      <c r="J44">
        <v>2</v>
      </c>
      <c r="K44">
        <v>49.99</v>
      </c>
      <c r="L44">
        <f>SalesData[[#This Row],[Unit_Price]]*SalesData[[#This Row],[Quantity]]</f>
        <v>99.98</v>
      </c>
      <c r="M44">
        <v>25</v>
      </c>
      <c r="N44">
        <f>SalesData[[#This Row],[Subtotal]]*(SalesData[[#This Row],[Discount_Percent]]/100)</f>
        <v>24.995000000000001</v>
      </c>
      <c r="O44">
        <f>SalesData[[#This Row],[Subtotal]]-SalesData[[#This Row],[Discount_Amount]]</f>
        <v>74.984999999999999</v>
      </c>
      <c r="P44">
        <v>7.5</v>
      </c>
      <c r="Q44">
        <f>SUM(SalesData[[#This Row],[Net_Amount]]+SalesData[[#This Row],[Shipping_Cost]])</f>
        <v>82.484999999999999</v>
      </c>
      <c r="R44" t="str">
        <f>IF(SalesData[[#This Row],[Total Order Value]]&gt;200,"High Value",IF(SalesData[[#This Row],[Total Order Value]]&gt;100,"Medium Value","Low Value"))</f>
        <v>Low Value</v>
      </c>
      <c r="S44" t="s">
        <v>44</v>
      </c>
      <c r="T44" t="s">
        <v>22</v>
      </c>
    </row>
    <row r="45" spans="1:20" x14ac:dyDescent="0.3">
      <c r="A45" t="s">
        <v>191</v>
      </c>
      <c r="B45" s="1">
        <v>45387</v>
      </c>
      <c r="C45" s="1" t="str">
        <f>TEXT(SalesData[[#This Row],[Order_Date]],"MMMM")</f>
        <v>April</v>
      </c>
      <c r="D45" t="s">
        <v>192</v>
      </c>
      <c r="E45" t="s">
        <v>193</v>
      </c>
      <c r="F45" t="s">
        <v>26</v>
      </c>
      <c r="G45" t="s">
        <v>53</v>
      </c>
      <c r="H45" t="s">
        <v>19</v>
      </c>
      <c r="I45" t="s">
        <v>194</v>
      </c>
      <c r="J45">
        <v>3</v>
      </c>
      <c r="K45">
        <v>29.99</v>
      </c>
      <c r="L45">
        <f>SalesData[[#This Row],[Unit_Price]]*SalesData[[#This Row],[Quantity]]</f>
        <v>89.97</v>
      </c>
      <c r="M45">
        <v>0</v>
      </c>
      <c r="N45">
        <f>SalesData[[#This Row],[Subtotal]]*(SalesData[[#This Row],[Discount_Percent]]/100)</f>
        <v>0</v>
      </c>
      <c r="O45">
        <f>SalesData[[#This Row],[Subtotal]]-SalesData[[#This Row],[Discount_Amount]]</f>
        <v>89.97</v>
      </c>
      <c r="P45">
        <v>5.99</v>
      </c>
      <c r="Q45">
        <f>SUM(SalesData[[#This Row],[Net_Amount]]+SalesData[[#This Row],[Shipping_Cost]])</f>
        <v>95.96</v>
      </c>
      <c r="R45" t="str">
        <f>IF(SalesData[[#This Row],[Total Order Value]]&gt;200,"High Value",IF(SalesData[[#This Row],[Total Order Value]]&gt;100,"Medium Value","Low Value"))</f>
        <v>Low Value</v>
      </c>
      <c r="S45" t="s">
        <v>30</v>
      </c>
      <c r="T45" t="s">
        <v>22</v>
      </c>
    </row>
    <row r="46" spans="1:20" x14ac:dyDescent="0.3">
      <c r="A46" t="s">
        <v>383</v>
      </c>
      <c r="B46" s="1">
        <v>45509</v>
      </c>
      <c r="C46" s="1" t="str">
        <f>TEXT(SalesData[[#This Row],[Order_Date]],"MMMM")</f>
        <v>August</v>
      </c>
      <c r="D46" t="s">
        <v>384</v>
      </c>
      <c r="E46" t="s">
        <v>385</v>
      </c>
      <c r="F46" t="s">
        <v>26</v>
      </c>
      <c r="G46" t="s">
        <v>53</v>
      </c>
      <c r="H46" t="s">
        <v>19</v>
      </c>
      <c r="I46" t="s">
        <v>386</v>
      </c>
      <c r="J46">
        <v>2</v>
      </c>
      <c r="K46">
        <v>49.99</v>
      </c>
      <c r="L46">
        <f>SalesData[[#This Row],[Unit_Price]]*SalesData[[#This Row],[Quantity]]</f>
        <v>99.98</v>
      </c>
      <c r="M46">
        <v>5</v>
      </c>
      <c r="N46">
        <f>SalesData[[#This Row],[Subtotal]]*(SalesData[[#This Row],[Discount_Percent]]/100)</f>
        <v>4.9990000000000006</v>
      </c>
      <c r="O46">
        <f>SalesData[[#This Row],[Subtotal]]-SalesData[[#This Row],[Discount_Amount]]</f>
        <v>94.981000000000009</v>
      </c>
      <c r="P46">
        <v>7.5</v>
      </c>
      <c r="Q46">
        <f>SUM(SalesData[[#This Row],[Net_Amount]]+SalesData[[#This Row],[Shipping_Cost]])</f>
        <v>102.48100000000001</v>
      </c>
      <c r="R46" t="str">
        <f>IF(SalesData[[#This Row],[Total Order Value]]&gt;200,"High Value",IF(SalesData[[#This Row],[Total Order Value]]&gt;100,"Medium Value","Low Value"))</f>
        <v>Medium Value</v>
      </c>
      <c r="S46" t="s">
        <v>44</v>
      </c>
      <c r="T46" t="s">
        <v>22</v>
      </c>
    </row>
    <row r="47" spans="1:20" x14ac:dyDescent="0.3">
      <c r="A47" t="s">
        <v>175</v>
      </c>
      <c r="B47" s="1">
        <v>45376</v>
      </c>
      <c r="C47" s="1" t="str">
        <f>TEXT(SalesData[[#This Row],[Order_Date]],"MMMM")</f>
        <v>March</v>
      </c>
      <c r="D47" t="s">
        <v>176</v>
      </c>
      <c r="E47" t="s">
        <v>177</v>
      </c>
      <c r="F47" t="s">
        <v>26</v>
      </c>
      <c r="G47" t="s">
        <v>27</v>
      </c>
      <c r="H47" t="s">
        <v>28</v>
      </c>
      <c r="I47" t="s">
        <v>178</v>
      </c>
      <c r="J47">
        <v>2</v>
      </c>
      <c r="K47">
        <v>59.99</v>
      </c>
      <c r="L47">
        <f>SalesData[[#This Row],[Unit_Price]]*SalesData[[#This Row],[Quantity]]</f>
        <v>119.98</v>
      </c>
      <c r="M47">
        <v>15</v>
      </c>
      <c r="N47">
        <f>SalesData[[#This Row],[Subtotal]]*(SalesData[[#This Row],[Discount_Percent]]/100)</f>
        <v>17.997</v>
      </c>
      <c r="O47">
        <f>SalesData[[#This Row],[Subtotal]]-SalesData[[#This Row],[Discount_Amount]]</f>
        <v>101.983</v>
      </c>
      <c r="P47">
        <v>7.99</v>
      </c>
      <c r="Q47">
        <f>SUM(SalesData[[#This Row],[Net_Amount]]+SalesData[[#This Row],[Shipping_Cost]])</f>
        <v>109.973</v>
      </c>
      <c r="R47" t="str">
        <f>IF(SalesData[[#This Row],[Total Order Value]]&gt;200,"High Value",IF(SalesData[[#This Row],[Total Order Value]]&gt;100,"Medium Value","Low Value"))</f>
        <v>Medium Value</v>
      </c>
      <c r="S47" t="s">
        <v>21</v>
      </c>
      <c r="T47" t="s">
        <v>22</v>
      </c>
    </row>
    <row r="48" spans="1:20" x14ac:dyDescent="0.3">
      <c r="A48" t="s">
        <v>239</v>
      </c>
      <c r="B48" s="1">
        <v>45417</v>
      </c>
      <c r="C48" s="1" t="str">
        <f>TEXT(SalesData[[#This Row],[Order_Date]],"MMMM")</f>
        <v>May</v>
      </c>
      <c r="D48" t="s">
        <v>240</v>
      </c>
      <c r="E48" t="s">
        <v>241</v>
      </c>
      <c r="F48" t="s">
        <v>26</v>
      </c>
      <c r="G48" t="s">
        <v>27</v>
      </c>
      <c r="H48" t="s">
        <v>19</v>
      </c>
      <c r="I48" t="s">
        <v>242</v>
      </c>
      <c r="J48">
        <v>3</v>
      </c>
      <c r="K48">
        <v>39.99</v>
      </c>
      <c r="L48">
        <f>SalesData[[#This Row],[Unit_Price]]*SalesData[[#This Row],[Quantity]]</f>
        <v>119.97</v>
      </c>
      <c r="M48">
        <v>5</v>
      </c>
      <c r="N48">
        <f>SalesData[[#This Row],[Subtotal]]*(SalesData[[#This Row],[Discount_Percent]]/100)</f>
        <v>5.9984999999999999</v>
      </c>
      <c r="O48">
        <f>SalesData[[#This Row],[Subtotal]]-SalesData[[#This Row],[Discount_Amount]]</f>
        <v>113.97149999999999</v>
      </c>
      <c r="P48">
        <v>7.5</v>
      </c>
      <c r="Q48">
        <f>SUM(SalesData[[#This Row],[Net_Amount]]+SalesData[[#This Row],[Shipping_Cost]])</f>
        <v>121.47149999999999</v>
      </c>
      <c r="R48" t="str">
        <f>IF(SalesData[[#This Row],[Total Order Value]]&gt;200,"High Value",IF(SalesData[[#This Row],[Total Order Value]]&gt;100,"Medium Value","Low Value"))</f>
        <v>Medium Value</v>
      </c>
      <c r="S48" t="s">
        <v>21</v>
      </c>
      <c r="T48" t="s">
        <v>61</v>
      </c>
    </row>
    <row r="49" spans="1:20" x14ac:dyDescent="0.3">
      <c r="A49" t="s">
        <v>92</v>
      </c>
      <c r="B49" s="1">
        <v>45327</v>
      </c>
      <c r="C49" s="1" t="str">
        <f>TEXT(SalesData[[#This Row],[Order_Date]],"MMMM")</f>
        <v>February</v>
      </c>
      <c r="D49" t="s">
        <v>93</v>
      </c>
      <c r="E49" t="s">
        <v>94</v>
      </c>
      <c r="F49" t="s">
        <v>26</v>
      </c>
      <c r="G49" t="s">
        <v>95</v>
      </c>
      <c r="H49" t="s">
        <v>19</v>
      </c>
      <c r="I49" t="s">
        <v>96</v>
      </c>
      <c r="J49">
        <v>2</v>
      </c>
      <c r="K49">
        <v>69.989999999999995</v>
      </c>
      <c r="L49">
        <f>SalesData[[#This Row],[Unit_Price]]*SalesData[[#This Row],[Quantity]]</f>
        <v>139.97999999999999</v>
      </c>
      <c r="M49">
        <v>10</v>
      </c>
      <c r="N49">
        <f>SalesData[[#This Row],[Subtotal]]*(SalesData[[#This Row],[Discount_Percent]]/100)</f>
        <v>13.997999999999999</v>
      </c>
      <c r="O49">
        <f>SalesData[[#This Row],[Subtotal]]-SalesData[[#This Row],[Discount_Amount]]</f>
        <v>125.98199999999999</v>
      </c>
      <c r="P49">
        <v>6.99</v>
      </c>
      <c r="Q49">
        <f>SUM(SalesData[[#This Row],[Net_Amount]]+SalesData[[#This Row],[Shipping_Cost]])</f>
        <v>132.97199999999998</v>
      </c>
      <c r="R49" t="str">
        <f>IF(SalesData[[#This Row],[Total Order Value]]&gt;200,"High Value",IF(SalesData[[#This Row],[Total Order Value]]&gt;100,"Medium Value","Low Value"))</f>
        <v>Medium Value</v>
      </c>
      <c r="S49" t="s">
        <v>44</v>
      </c>
      <c r="T49" t="s">
        <v>22</v>
      </c>
    </row>
    <row r="50" spans="1:20" x14ac:dyDescent="0.3">
      <c r="A50" t="s">
        <v>319</v>
      </c>
      <c r="B50" s="1">
        <v>45468</v>
      </c>
      <c r="C50" s="1" t="str">
        <f>TEXT(SalesData[[#This Row],[Order_Date]],"MMMM")</f>
        <v>June</v>
      </c>
      <c r="D50" t="s">
        <v>320</v>
      </c>
      <c r="E50" t="s">
        <v>321</v>
      </c>
      <c r="F50" t="s">
        <v>26</v>
      </c>
      <c r="G50" t="s">
        <v>53</v>
      </c>
      <c r="H50" t="s">
        <v>28</v>
      </c>
      <c r="I50" t="s">
        <v>322</v>
      </c>
      <c r="J50">
        <v>2</v>
      </c>
      <c r="K50">
        <v>74.989999999999995</v>
      </c>
      <c r="L50">
        <f>SalesData[[#This Row],[Unit_Price]]*SalesData[[#This Row],[Quantity]]</f>
        <v>149.97999999999999</v>
      </c>
      <c r="M50">
        <v>10</v>
      </c>
      <c r="N50">
        <f>SalesData[[#This Row],[Subtotal]]*(SalesData[[#This Row],[Discount_Percent]]/100)</f>
        <v>14.997999999999999</v>
      </c>
      <c r="O50">
        <f>SalesData[[#This Row],[Subtotal]]-SalesData[[#This Row],[Discount_Amount]]</f>
        <v>134.982</v>
      </c>
      <c r="P50">
        <v>10.99</v>
      </c>
      <c r="Q50">
        <f>SUM(SalesData[[#This Row],[Net_Amount]]+SalesData[[#This Row],[Shipping_Cost]])</f>
        <v>145.97200000000001</v>
      </c>
      <c r="R50" t="str">
        <f>IF(SalesData[[#This Row],[Total Order Value]]&gt;200,"High Value",IF(SalesData[[#This Row],[Total Order Value]]&gt;100,"Medium Value","Low Value"))</f>
        <v>Medium Value</v>
      </c>
      <c r="S50" t="s">
        <v>30</v>
      </c>
      <c r="T50" t="s">
        <v>22</v>
      </c>
    </row>
    <row r="51" spans="1:20" x14ac:dyDescent="0.3">
      <c r="A51" t="s">
        <v>431</v>
      </c>
      <c r="B51" s="1">
        <v>45540</v>
      </c>
      <c r="C51" s="1" t="str">
        <f>TEXT(SalesData[[#This Row],[Order_Date]],"MMMM")</f>
        <v>September</v>
      </c>
      <c r="D51" t="s">
        <v>432</v>
      </c>
      <c r="E51" t="s">
        <v>433</v>
      </c>
      <c r="F51" t="s">
        <v>26</v>
      </c>
      <c r="G51" t="s">
        <v>27</v>
      </c>
      <c r="H51" t="s">
        <v>19</v>
      </c>
      <c r="I51" t="s">
        <v>434</v>
      </c>
      <c r="J51">
        <v>1</v>
      </c>
      <c r="K51">
        <v>249.99</v>
      </c>
      <c r="L51">
        <f>SalesData[[#This Row],[Unit_Price]]*SalesData[[#This Row],[Quantity]]</f>
        <v>249.99</v>
      </c>
      <c r="M51">
        <v>15</v>
      </c>
      <c r="N51">
        <f>SalesData[[#This Row],[Subtotal]]*(SalesData[[#This Row],[Discount_Percent]]/100)</f>
        <v>37.4985</v>
      </c>
      <c r="O51">
        <f>SalesData[[#This Row],[Subtotal]]-SalesData[[#This Row],[Discount_Amount]]</f>
        <v>212.4915</v>
      </c>
      <c r="P51">
        <v>14.99</v>
      </c>
      <c r="Q51">
        <f>SUM(SalesData[[#This Row],[Net_Amount]]+SalesData[[#This Row],[Shipping_Cost]])</f>
        <v>227.48150000000001</v>
      </c>
      <c r="R51" t="str">
        <f>IF(SalesData[[#This Row],[Total Order Value]]&gt;200,"High Value",IF(SalesData[[#This Row],[Total Order Value]]&gt;100,"Medium Value","Low Value"))</f>
        <v>High Value</v>
      </c>
      <c r="S51" t="s">
        <v>30</v>
      </c>
      <c r="T51" t="s">
        <v>22</v>
      </c>
    </row>
    <row r="52" spans="1:20" x14ac:dyDescent="0.3">
      <c r="A52" t="s">
        <v>387</v>
      </c>
      <c r="B52" s="1">
        <v>45512</v>
      </c>
      <c r="C52" s="1" t="str">
        <f>TEXT(SalesData[[#This Row],[Order_Date]],"MMMM")</f>
        <v>August</v>
      </c>
      <c r="D52" t="s">
        <v>388</v>
      </c>
      <c r="E52" t="s">
        <v>389</v>
      </c>
      <c r="F52" t="s">
        <v>34</v>
      </c>
      <c r="G52" t="s">
        <v>35</v>
      </c>
      <c r="H52" t="s">
        <v>59</v>
      </c>
      <c r="I52" t="s">
        <v>390</v>
      </c>
      <c r="J52">
        <v>1</v>
      </c>
      <c r="K52">
        <v>29.99</v>
      </c>
      <c r="L52">
        <f>SalesData[[#This Row],[Unit_Price]]*SalesData[[#This Row],[Quantity]]</f>
        <v>29.99</v>
      </c>
      <c r="M52">
        <v>0</v>
      </c>
      <c r="N52">
        <f>SalesData[[#This Row],[Subtotal]]*(SalesData[[#This Row],[Discount_Percent]]/100)</f>
        <v>0</v>
      </c>
      <c r="O52">
        <f>SalesData[[#This Row],[Subtotal]]-SalesData[[#This Row],[Discount_Amount]]</f>
        <v>29.99</v>
      </c>
      <c r="P52">
        <v>3.99</v>
      </c>
      <c r="Q52">
        <f>SUM(SalesData[[#This Row],[Net_Amount]]+SalesData[[#This Row],[Shipping_Cost]])</f>
        <v>33.979999999999997</v>
      </c>
      <c r="R52" t="str">
        <f>IF(SalesData[[#This Row],[Total Order Value]]&gt;200,"High Value",IF(SalesData[[#This Row],[Total Order Value]]&gt;100,"Medium Value","Low Value"))</f>
        <v>Low Value</v>
      </c>
      <c r="S52" t="s">
        <v>30</v>
      </c>
      <c r="T52" t="s">
        <v>22</v>
      </c>
    </row>
    <row r="53" spans="1:20" x14ac:dyDescent="0.3">
      <c r="A53" t="s">
        <v>227</v>
      </c>
      <c r="B53" s="1">
        <v>45410</v>
      </c>
      <c r="C53" s="1" t="str">
        <f>TEXT(SalesData[[#This Row],[Order_Date]],"MMMM")</f>
        <v>April</v>
      </c>
      <c r="D53" t="s">
        <v>228</v>
      </c>
      <c r="E53" t="s">
        <v>229</v>
      </c>
      <c r="F53" t="s">
        <v>34</v>
      </c>
      <c r="G53" t="s">
        <v>18</v>
      </c>
      <c r="H53" t="s">
        <v>19</v>
      </c>
      <c r="I53" t="s">
        <v>230</v>
      </c>
      <c r="J53">
        <v>1</v>
      </c>
      <c r="K53">
        <v>34.99</v>
      </c>
      <c r="L53">
        <f>SalesData[[#This Row],[Unit_Price]]*SalesData[[#This Row],[Quantity]]</f>
        <v>34.99</v>
      </c>
      <c r="M53">
        <v>0</v>
      </c>
      <c r="N53">
        <f>SalesData[[#This Row],[Subtotal]]*(SalesData[[#This Row],[Discount_Percent]]/100)</f>
        <v>0</v>
      </c>
      <c r="O53">
        <f>SalesData[[#This Row],[Subtotal]]-SalesData[[#This Row],[Discount_Amount]]</f>
        <v>34.99</v>
      </c>
      <c r="P53">
        <v>4.5</v>
      </c>
      <c r="Q53">
        <f>SUM(SalesData[[#This Row],[Net_Amount]]+SalesData[[#This Row],[Shipping_Cost]])</f>
        <v>39.49</v>
      </c>
      <c r="R53" t="str">
        <f>IF(SalesData[[#This Row],[Total Order Value]]&gt;200,"High Value",IF(SalesData[[#This Row],[Total Order Value]]&gt;100,"Medium Value","Low Value"))</f>
        <v>Low Value</v>
      </c>
      <c r="S53" t="s">
        <v>44</v>
      </c>
      <c r="T53" t="s">
        <v>22</v>
      </c>
    </row>
    <row r="54" spans="1:20" x14ac:dyDescent="0.3">
      <c r="A54" t="s">
        <v>243</v>
      </c>
      <c r="B54" s="1">
        <v>45420</v>
      </c>
      <c r="C54" s="1" t="str">
        <f>TEXT(SalesData[[#This Row],[Order_Date]],"MMMM")</f>
        <v>May</v>
      </c>
      <c r="D54" t="s">
        <v>244</v>
      </c>
      <c r="E54" t="s">
        <v>245</v>
      </c>
      <c r="F54" t="s">
        <v>34</v>
      </c>
      <c r="G54" t="s">
        <v>35</v>
      </c>
      <c r="H54" t="s">
        <v>59</v>
      </c>
      <c r="I54" t="s">
        <v>246</v>
      </c>
      <c r="J54">
        <v>1</v>
      </c>
      <c r="K54">
        <v>39.99</v>
      </c>
      <c r="L54">
        <f>SalesData[[#This Row],[Unit_Price]]*SalesData[[#This Row],[Quantity]]</f>
        <v>39.99</v>
      </c>
      <c r="M54">
        <v>0</v>
      </c>
      <c r="N54">
        <f>SalesData[[#This Row],[Subtotal]]*(SalesData[[#This Row],[Discount_Percent]]/100)</f>
        <v>0</v>
      </c>
      <c r="O54">
        <f>SalesData[[#This Row],[Subtotal]]-SalesData[[#This Row],[Discount_Amount]]</f>
        <v>39.99</v>
      </c>
      <c r="P54">
        <v>3.99</v>
      </c>
      <c r="Q54">
        <f>SUM(SalesData[[#This Row],[Net_Amount]]+SalesData[[#This Row],[Shipping_Cost]])</f>
        <v>43.980000000000004</v>
      </c>
      <c r="R54" t="str">
        <f>IF(SalesData[[#This Row],[Total Order Value]]&gt;200,"High Value",IF(SalesData[[#This Row],[Total Order Value]]&gt;100,"Medium Value","Low Value"))</f>
        <v>Low Value</v>
      </c>
      <c r="S54" t="s">
        <v>44</v>
      </c>
      <c r="T54" t="s">
        <v>22</v>
      </c>
    </row>
    <row r="55" spans="1:20" x14ac:dyDescent="0.3">
      <c r="A55" t="s">
        <v>403</v>
      </c>
      <c r="B55" s="1">
        <v>45522</v>
      </c>
      <c r="C55" s="1" t="str">
        <f>TEXT(SalesData[[#This Row],[Order_Date]],"MMMM")</f>
        <v>August</v>
      </c>
      <c r="D55" t="s">
        <v>404</v>
      </c>
      <c r="E55" t="s">
        <v>405</v>
      </c>
      <c r="F55" t="s">
        <v>34</v>
      </c>
      <c r="G55" t="s">
        <v>58</v>
      </c>
      <c r="H55" t="s">
        <v>59</v>
      </c>
      <c r="I55" t="s">
        <v>406</v>
      </c>
      <c r="J55">
        <v>1</v>
      </c>
      <c r="K55">
        <v>39.99</v>
      </c>
      <c r="L55">
        <f>SalesData[[#This Row],[Unit_Price]]*SalesData[[#This Row],[Quantity]]</f>
        <v>39.99</v>
      </c>
      <c r="M55">
        <v>0</v>
      </c>
      <c r="N55">
        <f>SalesData[[#This Row],[Subtotal]]*(SalesData[[#This Row],[Discount_Percent]]/100)</f>
        <v>0</v>
      </c>
      <c r="O55">
        <f>SalesData[[#This Row],[Subtotal]]-SalesData[[#This Row],[Discount_Amount]]</f>
        <v>39.99</v>
      </c>
      <c r="P55">
        <v>4.5</v>
      </c>
      <c r="Q55">
        <f>SUM(SalesData[[#This Row],[Net_Amount]]+SalesData[[#This Row],[Shipping_Cost]])</f>
        <v>44.49</v>
      </c>
      <c r="R55" t="str">
        <f>IF(SalesData[[#This Row],[Total Order Value]]&gt;200,"High Value",IF(SalesData[[#This Row],[Total Order Value]]&gt;100,"Medium Value","Low Value"))</f>
        <v>Low Value</v>
      </c>
      <c r="S55" t="s">
        <v>30</v>
      </c>
      <c r="T55" t="s">
        <v>22</v>
      </c>
    </row>
    <row r="56" spans="1:20" x14ac:dyDescent="0.3">
      <c r="A56" t="s">
        <v>114</v>
      </c>
      <c r="B56" s="1">
        <v>45340</v>
      </c>
      <c r="C56" s="1" t="str">
        <f>TEXT(SalesData[[#This Row],[Order_Date]],"MMMM")</f>
        <v>February</v>
      </c>
      <c r="D56" t="s">
        <v>115</v>
      </c>
      <c r="E56" t="s">
        <v>116</v>
      </c>
      <c r="F56" t="s">
        <v>34</v>
      </c>
      <c r="G56" t="s">
        <v>58</v>
      </c>
      <c r="H56" t="s">
        <v>59</v>
      </c>
      <c r="I56" t="s">
        <v>117</v>
      </c>
      <c r="J56">
        <v>1</v>
      </c>
      <c r="K56">
        <v>42.99</v>
      </c>
      <c r="L56">
        <f>SalesData[[#This Row],[Unit_Price]]*SalesData[[#This Row],[Quantity]]</f>
        <v>42.99</v>
      </c>
      <c r="M56">
        <v>0</v>
      </c>
      <c r="N56">
        <f>SalesData[[#This Row],[Subtotal]]*(SalesData[[#This Row],[Discount_Percent]]/100)</f>
        <v>0</v>
      </c>
      <c r="O56">
        <f>SalesData[[#This Row],[Subtotal]]-SalesData[[#This Row],[Discount_Amount]]</f>
        <v>42.99</v>
      </c>
      <c r="P56">
        <v>3.99</v>
      </c>
      <c r="Q56">
        <f>SUM(SalesData[[#This Row],[Net_Amount]]+SalesData[[#This Row],[Shipping_Cost]])</f>
        <v>46.980000000000004</v>
      </c>
      <c r="R56" t="str">
        <f>IF(SalesData[[#This Row],[Total Order Value]]&gt;200,"High Value",IF(SalesData[[#This Row],[Total Order Value]]&gt;100,"Medium Value","Low Value"))</f>
        <v>Low Value</v>
      </c>
      <c r="S56" t="s">
        <v>21</v>
      </c>
      <c r="T56" t="s">
        <v>22</v>
      </c>
    </row>
    <row r="57" spans="1:20" x14ac:dyDescent="0.3">
      <c r="A57" t="s">
        <v>55</v>
      </c>
      <c r="B57" s="1">
        <v>45309</v>
      </c>
      <c r="C57" s="1" t="str">
        <f>TEXT(SalesData[[#This Row],[Order_Date]],"MMMM")</f>
        <v>January</v>
      </c>
      <c r="D57" t="s">
        <v>56</v>
      </c>
      <c r="E57" t="s">
        <v>57</v>
      </c>
      <c r="F57" t="s">
        <v>34</v>
      </c>
      <c r="G57" t="s">
        <v>58</v>
      </c>
      <c r="H57" t="s">
        <v>59</v>
      </c>
      <c r="I57" t="s">
        <v>60</v>
      </c>
      <c r="J57">
        <v>1</v>
      </c>
      <c r="K57">
        <v>54.99</v>
      </c>
      <c r="L57">
        <f>SalesData[[#This Row],[Unit_Price]]*SalesData[[#This Row],[Quantity]]</f>
        <v>54.99</v>
      </c>
      <c r="M57">
        <v>10</v>
      </c>
      <c r="N57">
        <f>SalesData[[#This Row],[Subtotal]]*(SalesData[[#This Row],[Discount_Percent]]/100)</f>
        <v>5.4990000000000006</v>
      </c>
      <c r="O57">
        <f>SalesData[[#This Row],[Subtotal]]-SalesData[[#This Row],[Discount_Amount]]</f>
        <v>49.491</v>
      </c>
      <c r="P57">
        <v>3.99</v>
      </c>
      <c r="Q57">
        <f>SUM(SalesData[[#This Row],[Net_Amount]]+SalesData[[#This Row],[Shipping_Cost]])</f>
        <v>53.481000000000002</v>
      </c>
      <c r="R57" t="str">
        <f>IF(SalesData[[#This Row],[Total Order Value]]&gt;200,"High Value",IF(SalesData[[#This Row],[Total Order Value]]&gt;100,"Medium Value","Low Value"))</f>
        <v>Low Value</v>
      </c>
      <c r="S57" t="s">
        <v>21</v>
      </c>
      <c r="T57" t="s">
        <v>61</v>
      </c>
    </row>
    <row r="58" spans="1:20" x14ac:dyDescent="0.3">
      <c r="A58" t="s">
        <v>78</v>
      </c>
      <c r="B58" s="1">
        <v>45319</v>
      </c>
      <c r="C58" s="1" t="str">
        <f>TEXT(SalesData[[#This Row],[Order_Date]],"MMMM")</f>
        <v>January</v>
      </c>
      <c r="D58" t="s">
        <v>79</v>
      </c>
      <c r="E58" t="s">
        <v>80</v>
      </c>
      <c r="F58" t="s">
        <v>34</v>
      </c>
      <c r="G58" t="s">
        <v>18</v>
      </c>
      <c r="H58" t="s">
        <v>19</v>
      </c>
      <c r="I58" t="s">
        <v>81</v>
      </c>
      <c r="J58">
        <v>1</v>
      </c>
      <c r="K58">
        <v>49.99</v>
      </c>
      <c r="L58">
        <f>SalesData[[#This Row],[Unit_Price]]*SalesData[[#This Row],[Quantity]]</f>
        <v>49.99</v>
      </c>
      <c r="M58">
        <v>10</v>
      </c>
      <c r="N58">
        <f>SalesData[[#This Row],[Subtotal]]*(SalesData[[#This Row],[Discount_Percent]]/100)</f>
        <v>4.9990000000000006</v>
      </c>
      <c r="O58">
        <f>SalesData[[#This Row],[Subtotal]]-SalesData[[#This Row],[Discount_Amount]]</f>
        <v>44.991</v>
      </c>
      <c r="P58">
        <v>8.5</v>
      </c>
      <c r="Q58">
        <f>SUM(SalesData[[#This Row],[Net_Amount]]+SalesData[[#This Row],[Shipping_Cost]])</f>
        <v>53.491</v>
      </c>
      <c r="R58" t="str">
        <f>IF(SalesData[[#This Row],[Total Order Value]]&gt;200,"High Value",IF(SalesData[[#This Row],[Total Order Value]]&gt;100,"Medium Value","Low Value"))</f>
        <v>Low Value</v>
      </c>
      <c r="S58" t="s">
        <v>21</v>
      </c>
      <c r="T58" t="s">
        <v>22</v>
      </c>
    </row>
    <row r="59" spans="1:20" x14ac:dyDescent="0.3">
      <c r="A59" t="s">
        <v>31</v>
      </c>
      <c r="B59" s="1">
        <v>45299</v>
      </c>
      <c r="C59" s="1" t="str">
        <f>TEXT(SalesData[[#This Row],[Order_Date]],"MMMM")</f>
        <v>January</v>
      </c>
      <c r="D59" t="s">
        <v>32</v>
      </c>
      <c r="E59" t="s">
        <v>33</v>
      </c>
      <c r="F59" t="s">
        <v>34</v>
      </c>
      <c r="G59" t="s">
        <v>35</v>
      </c>
      <c r="H59" t="s">
        <v>19</v>
      </c>
      <c r="I59" t="s">
        <v>36</v>
      </c>
      <c r="J59">
        <v>5</v>
      </c>
      <c r="K59">
        <v>12.99</v>
      </c>
      <c r="L59">
        <f>SalesData[[#This Row],[Unit_Price]]*SalesData[[#This Row],[Quantity]]</f>
        <v>64.95</v>
      </c>
      <c r="M59">
        <v>15</v>
      </c>
      <c r="N59">
        <f>SalesData[[#This Row],[Subtotal]]*(SalesData[[#This Row],[Discount_Percent]]/100)</f>
        <v>9.7424999999999997</v>
      </c>
      <c r="O59">
        <f>SalesData[[#This Row],[Subtotal]]-SalesData[[#This Row],[Discount_Amount]]</f>
        <v>55.207500000000003</v>
      </c>
      <c r="P59">
        <v>4.99</v>
      </c>
      <c r="Q59">
        <f>SUM(SalesData[[#This Row],[Net_Amount]]+SalesData[[#This Row],[Shipping_Cost]])</f>
        <v>60.197500000000005</v>
      </c>
      <c r="R59" t="str">
        <f>IF(SalesData[[#This Row],[Total Order Value]]&gt;200,"High Value",IF(SalesData[[#This Row],[Total Order Value]]&gt;100,"Medium Value","Low Value"))</f>
        <v>Low Value</v>
      </c>
      <c r="S59" t="s">
        <v>21</v>
      </c>
      <c r="T59" t="s">
        <v>22</v>
      </c>
    </row>
    <row r="60" spans="1:20" x14ac:dyDescent="0.3">
      <c r="A60" t="s">
        <v>97</v>
      </c>
      <c r="B60" s="1">
        <v>45330</v>
      </c>
      <c r="C60" s="1" t="str">
        <f>TEXT(SalesData[[#This Row],[Order_Date]],"MMMM")</f>
        <v>February</v>
      </c>
      <c r="D60" t="s">
        <v>98</v>
      </c>
      <c r="E60" t="s">
        <v>99</v>
      </c>
      <c r="F60" t="s">
        <v>34</v>
      </c>
      <c r="G60" t="s">
        <v>35</v>
      </c>
      <c r="H60" t="s">
        <v>59</v>
      </c>
      <c r="I60" t="s">
        <v>100</v>
      </c>
      <c r="J60">
        <v>1</v>
      </c>
      <c r="K60">
        <v>64.989999999999995</v>
      </c>
      <c r="L60">
        <f>SalesData[[#This Row],[Unit_Price]]*SalesData[[#This Row],[Quantity]]</f>
        <v>64.989999999999995</v>
      </c>
      <c r="M60">
        <v>15</v>
      </c>
      <c r="N60">
        <f>SalesData[[#This Row],[Subtotal]]*(SalesData[[#This Row],[Discount_Percent]]/100)</f>
        <v>9.7484999999999982</v>
      </c>
      <c r="O60">
        <f>SalesData[[#This Row],[Subtotal]]-SalesData[[#This Row],[Discount_Amount]]</f>
        <v>55.241499999999995</v>
      </c>
      <c r="P60">
        <v>4.99</v>
      </c>
      <c r="Q60">
        <f>SUM(SalesData[[#This Row],[Net_Amount]]+SalesData[[#This Row],[Shipping_Cost]])</f>
        <v>60.231499999999997</v>
      </c>
      <c r="R60" t="str">
        <f>IF(SalesData[[#This Row],[Total Order Value]]&gt;200,"High Value",IF(SalesData[[#This Row],[Total Order Value]]&gt;100,"Medium Value","Low Value"))</f>
        <v>Low Value</v>
      </c>
      <c r="S60" t="s">
        <v>21</v>
      </c>
      <c r="T60" t="s">
        <v>22</v>
      </c>
    </row>
    <row r="61" spans="1:20" x14ac:dyDescent="0.3">
      <c r="A61" t="s">
        <v>355</v>
      </c>
      <c r="B61" s="1">
        <v>45491</v>
      </c>
      <c r="C61" s="1" t="str">
        <f>TEXT(SalesData[[#This Row],[Order_Date]],"MMMM")</f>
        <v>July</v>
      </c>
      <c r="D61" t="s">
        <v>356</v>
      </c>
      <c r="E61" t="s">
        <v>357</v>
      </c>
      <c r="F61" t="s">
        <v>34</v>
      </c>
      <c r="G61" t="s">
        <v>58</v>
      </c>
      <c r="H61" t="s">
        <v>28</v>
      </c>
      <c r="I61" t="s">
        <v>358</v>
      </c>
      <c r="J61">
        <v>2</v>
      </c>
      <c r="K61">
        <v>29.99</v>
      </c>
      <c r="L61">
        <f>SalesData[[#This Row],[Unit_Price]]*SalesData[[#This Row],[Quantity]]</f>
        <v>59.98</v>
      </c>
      <c r="M61">
        <v>5</v>
      </c>
      <c r="N61">
        <f>SalesData[[#This Row],[Subtotal]]*(SalesData[[#This Row],[Discount_Percent]]/100)</f>
        <v>2.9990000000000001</v>
      </c>
      <c r="O61">
        <f>SalesData[[#This Row],[Subtotal]]-SalesData[[#This Row],[Discount_Amount]]</f>
        <v>56.980999999999995</v>
      </c>
      <c r="P61">
        <v>5.99</v>
      </c>
      <c r="Q61">
        <f>SUM(SalesData[[#This Row],[Net_Amount]]+SalesData[[#This Row],[Shipping_Cost]])</f>
        <v>62.970999999999997</v>
      </c>
      <c r="R61" t="str">
        <f>IF(SalesData[[#This Row],[Total Order Value]]&gt;200,"High Value",IF(SalesData[[#This Row],[Total Order Value]]&gt;100,"Medium Value","Low Value"))</f>
        <v>Low Value</v>
      </c>
      <c r="S61" t="s">
        <v>44</v>
      </c>
      <c r="T61" t="s">
        <v>61</v>
      </c>
    </row>
    <row r="62" spans="1:20" x14ac:dyDescent="0.3">
      <c r="A62" t="s">
        <v>179</v>
      </c>
      <c r="B62" s="1">
        <v>45379</v>
      </c>
      <c r="C62" s="1" t="str">
        <f>TEXT(SalesData[[#This Row],[Order_Date]],"MMMM")</f>
        <v>March</v>
      </c>
      <c r="D62" t="s">
        <v>180</v>
      </c>
      <c r="E62" t="s">
        <v>181</v>
      </c>
      <c r="F62" t="s">
        <v>34</v>
      </c>
      <c r="G62" t="s">
        <v>18</v>
      </c>
      <c r="H62" t="s">
        <v>19</v>
      </c>
      <c r="I62" t="s">
        <v>182</v>
      </c>
      <c r="J62">
        <v>1</v>
      </c>
      <c r="K62">
        <v>69.989999999999995</v>
      </c>
      <c r="L62">
        <f>SalesData[[#This Row],[Unit_Price]]*SalesData[[#This Row],[Quantity]]</f>
        <v>69.989999999999995</v>
      </c>
      <c r="M62">
        <v>10</v>
      </c>
      <c r="N62">
        <f>SalesData[[#This Row],[Subtotal]]*(SalesData[[#This Row],[Discount_Percent]]/100)</f>
        <v>6.9989999999999997</v>
      </c>
      <c r="O62">
        <f>SalesData[[#This Row],[Subtotal]]-SalesData[[#This Row],[Discount_Amount]]</f>
        <v>62.990999999999993</v>
      </c>
      <c r="P62">
        <v>6.5</v>
      </c>
      <c r="Q62">
        <f>SUM(SalesData[[#This Row],[Net_Amount]]+SalesData[[#This Row],[Shipping_Cost]])</f>
        <v>69.490999999999985</v>
      </c>
      <c r="R62" t="str">
        <f>IF(SalesData[[#This Row],[Total Order Value]]&gt;200,"High Value",IF(SalesData[[#This Row],[Total Order Value]]&gt;100,"Medium Value","Low Value"))</f>
        <v>Low Value</v>
      </c>
      <c r="S62" t="s">
        <v>30</v>
      </c>
      <c r="T62" t="s">
        <v>61</v>
      </c>
    </row>
    <row r="63" spans="1:20" x14ac:dyDescent="0.3">
      <c r="A63" t="s">
        <v>339</v>
      </c>
      <c r="B63" s="1">
        <v>45481</v>
      </c>
      <c r="C63" s="1" t="str">
        <f>TEXT(SalesData[[#This Row],[Order_Date]],"MMMM")</f>
        <v>July</v>
      </c>
      <c r="D63" t="s">
        <v>340</v>
      </c>
      <c r="E63" t="s">
        <v>341</v>
      </c>
      <c r="F63" t="s">
        <v>34</v>
      </c>
      <c r="G63" t="s">
        <v>35</v>
      </c>
      <c r="H63" t="s">
        <v>28</v>
      </c>
      <c r="I63" t="s">
        <v>342</v>
      </c>
      <c r="J63">
        <v>2</v>
      </c>
      <c r="K63">
        <v>34.99</v>
      </c>
      <c r="L63">
        <f>SalesData[[#This Row],[Unit_Price]]*SalesData[[#This Row],[Quantity]]</f>
        <v>69.98</v>
      </c>
      <c r="M63">
        <v>10</v>
      </c>
      <c r="N63">
        <f>SalesData[[#This Row],[Subtotal]]*(SalesData[[#This Row],[Discount_Percent]]/100)</f>
        <v>6.9980000000000011</v>
      </c>
      <c r="O63">
        <f>SalesData[[#This Row],[Subtotal]]-SalesData[[#This Row],[Discount_Amount]]</f>
        <v>62.981999999999999</v>
      </c>
      <c r="P63">
        <v>6.99</v>
      </c>
      <c r="Q63">
        <f>SUM(SalesData[[#This Row],[Net_Amount]]+SalesData[[#This Row],[Shipping_Cost]])</f>
        <v>69.971999999999994</v>
      </c>
      <c r="R63" t="str">
        <f>IF(SalesData[[#This Row],[Total Order Value]]&gt;200,"High Value",IF(SalesData[[#This Row],[Total Order Value]]&gt;100,"Medium Value","Low Value"))</f>
        <v>Low Value</v>
      </c>
      <c r="S63" t="s">
        <v>44</v>
      </c>
      <c r="T63" t="s">
        <v>22</v>
      </c>
    </row>
    <row r="64" spans="1:20" x14ac:dyDescent="0.3">
      <c r="A64" t="s">
        <v>147</v>
      </c>
      <c r="B64" s="1">
        <v>45359</v>
      </c>
      <c r="C64" s="1" t="str">
        <f>TEXT(SalesData[[#This Row],[Order_Date]],"MMMM")</f>
        <v>March</v>
      </c>
      <c r="D64" t="s">
        <v>148</v>
      </c>
      <c r="E64" t="s">
        <v>149</v>
      </c>
      <c r="F64" t="s">
        <v>34</v>
      </c>
      <c r="G64" t="s">
        <v>35</v>
      </c>
      <c r="H64" t="s">
        <v>42</v>
      </c>
      <c r="I64" t="s">
        <v>150</v>
      </c>
      <c r="J64">
        <v>2</v>
      </c>
      <c r="K64">
        <v>39.99</v>
      </c>
      <c r="L64">
        <f>SalesData[[#This Row],[Unit_Price]]*SalesData[[#This Row],[Quantity]]</f>
        <v>79.98</v>
      </c>
      <c r="M64">
        <v>20</v>
      </c>
      <c r="N64">
        <f>SalesData[[#This Row],[Subtotal]]*(SalesData[[#This Row],[Discount_Percent]]/100)</f>
        <v>15.996000000000002</v>
      </c>
      <c r="O64">
        <f>SalesData[[#This Row],[Subtotal]]-SalesData[[#This Row],[Discount_Amount]]</f>
        <v>63.984000000000002</v>
      </c>
      <c r="P64">
        <v>6.99</v>
      </c>
      <c r="Q64">
        <f>SUM(SalesData[[#This Row],[Net_Amount]]+SalesData[[#This Row],[Shipping_Cost]])</f>
        <v>70.974000000000004</v>
      </c>
      <c r="R64" t="str">
        <f>IF(SalesData[[#This Row],[Total Order Value]]&gt;200,"High Value",IF(SalesData[[#This Row],[Total Order Value]]&gt;100,"Medium Value","Low Value"))</f>
        <v>Low Value</v>
      </c>
      <c r="S64" t="s">
        <v>21</v>
      </c>
      <c r="T64" t="s">
        <v>22</v>
      </c>
    </row>
    <row r="65" spans="1:20" x14ac:dyDescent="0.3">
      <c r="A65" t="s">
        <v>163</v>
      </c>
      <c r="B65" s="1">
        <v>45369</v>
      </c>
      <c r="C65" s="1" t="str">
        <f>TEXT(SalesData[[#This Row],[Order_Date]],"MMMM")</f>
        <v>March</v>
      </c>
      <c r="D65" t="s">
        <v>164</v>
      </c>
      <c r="E65" t="s">
        <v>165</v>
      </c>
      <c r="F65" t="s">
        <v>34</v>
      </c>
      <c r="G65" t="s">
        <v>58</v>
      </c>
      <c r="H65" t="s">
        <v>42</v>
      </c>
      <c r="I65" t="s">
        <v>166</v>
      </c>
      <c r="J65">
        <v>3</v>
      </c>
      <c r="K65">
        <v>24.99</v>
      </c>
      <c r="L65">
        <f>SalesData[[#This Row],[Unit_Price]]*SalesData[[#This Row],[Quantity]]</f>
        <v>74.97</v>
      </c>
      <c r="M65">
        <v>10</v>
      </c>
      <c r="N65">
        <f>SalesData[[#This Row],[Subtotal]]*(SalesData[[#This Row],[Discount_Percent]]/100)</f>
        <v>7.4969999999999999</v>
      </c>
      <c r="O65">
        <f>SalesData[[#This Row],[Subtotal]]-SalesData[[#This Row],[Discount_Amount]]</f>
        <v>67.472999999999999</v>
      </c>
      <c r="P65">
        <v>5.5</v>
      </c>
      <c r="Q65">
        <f>SUM(SalesData[[#This Row],[Net_Amount]]+SalesData[[#This Row],[Shipping_Cost]])</f>
        <v>72.972999999999999</v>
      </c>
      <c r="R65" t="str">
        <f>IF(SalesData[[#This Row],[Total Order Value]]&gt;200,"High Value",IF(SalesData[[#This Row],[Total Order Value]]&gt;100,"Medium Value","Low Value"))</f>
        <v>Low Value</v>
      </c>
      <c r="S65" t="s">
        <v>30</v>
      </c>
      <c r="T65" t="s">
        <v>22</v>
      </c>
    </row>
    <row r="66" spans="1:20" x14ac:dyDescent="0.3">
      <c r="A66" t="s">
        <v>307</v>
      </c>
      <c r="B66" s="1">
        <v>45461</v>
      </c>
      <c r="C66" s="1" t="str">
        <f>TEXT(SalesData[[#This Row],[Order_Date]],"MMMM")</f>
        <v>June</v>
      </c>
      <c r="D66" t="s">
        <v>308</v>
      </c>
      <c r="E66" t="s">
        <v>309</v>
      </c>
      <c r="F66" t="s">
        <v>34</v>
      </c>
      <c r="G66" t="s">
        <v>58</v>
      </c>
      <c r="H66" t="s">
        <v>42</v>
      </c>
      <c r="I66" t="s">
        <v>310</v>
      </c>
      <c r="J66">
        <v>3</v>
      </c>
      <c r="K66">
        <v>29.99</v>
      </c>
      <c r="L66">
        <f>SalesData[[#This Row],[Unit_Price]]*SalesData[[#This Row],[Quantity]]</f>
        <v>89.97</v>
      </c>
      <c r="M66">
        <v>25</v>
      </c>
      <c r="N66">
        <f>SalesData[[#This Row],[Subtotal]]*(SalesData[[#This Row],[Discount_Percent]]/100)</f>
        <v>22.4925</v>
      </c>
      <c r="O66">
        <f>SalesData[[#This Row],[Subtotal]]-SalesData[[#This Row],[Discount_Amount]]</f>
        <v>67.477499999999992</v>
      </c>
      <c r="P66">
        <v>5.99</v>
      </c>
      <c r="Q66">
        <f>SUM(SalesData[[#This Row],[Net_Amount]]+SalesData[[#This Row],[Shipping_Cost]])</f>
        <v>73.467499999999987</v>
      </c>
      <c r="R66" t="str">
        <f>IF(SalesData[[#This Row],[Total Order Value]]&gt;200,"High Value",IF(SalesData[[#This Row],[Total Order Value]]&gt;100,"Medium Value","Low Value"))</f>
        <v>Low Value</v>
      </c>
      <c r="S66" t="s">
        <v>21</v>
      </c>
      <c r="T66" t="s">
        <v>72</v>
      </c>
    </row>
    <row r="67" spans="1:20" x14ac:dyDescent="0.3">
      <c r="A67" t="s">
        <v>259</v>
      </c>
      <c r="B67" s="1">
        <v>45430</v>
      </c>
      <c r="C67" s="1" t="str">
        <f>TEXT(SalesData[[#This Row],[Order_Date]],"MMMM")</f>
        <v>May</v>
      </c>
      <c r="D67" t="s">
        <v>260</v>
      </c>
      <c r="E67" t="s">
        <v>261</v>
      </c>
      <c r="F67" t="s">
        <v>34</v>
      </c>
      <c r="G67" t="s">
        <v>58</v>
      </c>
      <c r="H67" t="s">
        <v>59</v>
      </c>
      <c r="I67" t="s">
        <v>262</v>
      </c>
      <c r="J67">
        <v>2</v>
      </c>
      <c r="K67">
        <v>34.99</v>
      </c>
      <c r="L67">
        <f>SalesData[[#This Row],[Unit_Price]]*SalesData[[#This Row],[Quantity]]</f>
        <v>69.98</v>
      </c>
      <c r="M67">
        <v>0</v>
      </c>
      <c r="N67">
        <f>SalesData[[#This Row],[Subtotal]]*(SalesData[[#This Row],[Discount_Percent]]/100)</f>
        <v>0</v>
      </c>
      <c r="O67">
        <f>SalesData[[#This Row],[Subtotal]]-SalesData[[#This Row],[Discount_Amount]]</f>
        <v>69.98</v>
      </c>
      <c r="P67">
        <v>4.5</v>
      </c>
      <c r="Q67">
        <f>SUM(SalesData[[#This Row],[Net_Amount]]+SalesData[[#This Row],[Shipping_Cost]])</f>
        <v>74.48</v>
      </c>
      <c r="R67" t="str">
        <f>IF(SalesData[[#This Row],[Total Order Value]]&gt;200,"High Value",IF(SalesData[[#This Row],[Total Order Value]]&gt;100,"Medium Value","Low Value"))</f>
        <v>Low Value</v>
      </c>
      <c r="S67" t="s">
        <v>21</v>
      </c>
      <c r="T67" t="s">
        <v>22</v>
      </c>
    </row>
    <row r="68" spans="1:20" x14ac:dyDescent="0.3">
      <c r="A68" t="s">
        <v>195</v>
      </c>
      <c r="B68" s="1">
        <v>45390</v>
      </c>
      <c r="C68" s="1" t="str">
        <f>TEXT(SalesData[[#This Row],[Order_Date]],"MMMM")</f>
        <v>April</v>
      </c>
      <c r="D68" t="s">
        <v>196</v>
      </c>
      <c r="E68" t="s">
        <v>197</v>
      </c>
      <c r="F68" t="s">
        <v>34</v>
      </c>
      <c r="G68" t="s">
        <v>35</v>
      </c>
      <c r="H68" t="s">
        <v>28</v>
      </c>
      <c r="I68" t="s">
        <v>198</v>
      </c>
      <c r="J68">
        <v>4</v>
      </c>
      <c r="K68">
        <v>19.989999999999998</v>
      </c>
      <c r="L68">
        <f>SalesData[[#This Row],[Unit_Price]]*SalesData[[#This Row],[Quantity]]</f>
        <v>79.959999999999994</v>
      </c>
      <c r="M68">
        <v>10</v>
      </c>
      <c r="N68">
        <f>SalesData[[#This Row],[Subtotal]]*(SalesData[[#This Row],[Discount_Percent]]/100)</f>
        <v>7.9959999999999996</v>
      </c>
      <c r="O68">
        <f>SalesData[[#This Row],[Subtotal]]-SalesData[[#This Row],[Discount_Amount]]</f>
        <v>71.963999999999999</v>
      </c>
      <c r="P68">
        <v>4.5</v>
      </c>
      <c r="Q68">
        <f>SUM(SalesData[[#This Row],[Net_Amount]]+SalesData[[#This Row],[Shipping_Cost]])</f>
        <v>76.463999999999999</v>
      </c>
      <c r="R68" t="str">
        <f>IF(SalesData[[#This Row],[Total Order Value]]&gt;200,"High Value",IF(SalesData[[#This Row],[Total Order Value]]&gt;100,"Medium Value","Low Value"))</f>
        <v>Low Value</v>
      </c>
      <c r="S68" t="s">
        <v>21</v>
      </c>
      <c r="T68" t="s">
        <v>72</v>
      </c>
    </row>
    <row r="69" spans="1:20" x14ac:dyDescent="0.3">
      <c r="A69" t="s">
        <v>291</v>
      </c>
      <c r="B69" s="1">
        <v>45451</v>
      </c>
      <c r="C69" s="1" t="str">
        <f>TEXT(SalesData[[#This Row],[Order_Date]],"MMMM")</f>
        <v>June</v>
      </c>
      <c r="D69" t="s">
        <v>292</v>
      </c>
      <c r="E69" t="s">
        <v>293</v>
      </c>
      <c r="F69" t="s">
        <v>34</v>
      </c>
      <c r="G69" t="s">
        <v>35</v>
      </c>
      <c r="H69" t="s">
        <v>42</v>
      </c>
      <c r="I69" t="s">
        <v>294</v>
      </c>
      <c r="J69">
        <v>2</v>
      </c>
      <c r="K69">
        <v>34.99</v>
      </c>
      <c r="L69">
        <f>SalesData[[#This Row],[Unit_Price]]*SalesData[[#This Row],[Quantity]]</f>
        <v>69.98</v>
      </c>
      <c r="M69">
        <v>0</v>
      </c>
      <c r="N69">
        <f>SalesData[[#This Row],[Subtotal]]*(SalesData[[#This Row],[Discount_Percent]]/100)</f>
        <v>0</v>
      </c>
      <c r="O69">
        <f>SalesData[[#This Row],[Subtotal]]-SalesData[[#This Row],[Discount_Amount]]</f>
        <v>69.98</v>
      </c>
      <c r="P69">
        <v>6.5</v>
      </c>
      <c r="Q69">
        <f>SUM(SalesData[[#This Row],[Net_Amount]]+SalesData[[#This Row],[Shipping_Cost]])</f>
        <v>76.48</v>
      </c>
      <c r="R69" t="str">
        <f>IF(SalesData[[#This Row],[Total Order Value]]&gt;200,"High Value",IF(SalesData[[#This Row],[Total Order Value]]&gt;100,"Medium Value","Low Value"))</f>
        <v>Low Value</v>
      </c>
      <c r="S69" t="s">
        <v>30</v>
      </c>
      <c r="T69" t="s">
        <v>22</v>
      </c>
    </row>
    <row r="70" spans="1:20" x14ac:dyDescent="0.3">
      <c r="A70" t="s">
        <v>211</v>
      </c>
      <c r="B70" s="1">
        <v>45400</v>
      </c>
      <c r="C70" s="1" t="str">
        <f>TEXT(SalesData[[#This Row],[Order_Date]],"MMMM")</f>
        <v>April</v>
      </c>
      <c r="D70" t="s">
        <v>212</v>
      </c>
      <c r="E70" t="s">
        <v>213</v>
      </c>
      <c r="F70" t="s">
        <v>34</v>
      </c>
      <c r="G70" t="s">
        <v>58</v>
      </c>
      <c r="H70" t="s">
        <v>28</v>
      </c>
      <c r="I70" t="s">
        <v>214</v>
      </c>
      <c r="J70">
        <v>3</v>
      </c>
      <c r="K70">
        <v>24.99</v>
      </c>
      <c r="L70">
        <f>SalesData[[#This Row],[Unit_Price]]*SalesData[[#This Row],[Quantity]]</f>
        <v>74.97</v>
      </c>
      <c r="M70">
        <v>5</v>
      </c>
      <c r="N70">
        <f>SalesData[[#This Row],[Subtotal]]*(SalesData[[#This Row],[Discount_Percent]]/100)</f>
        <v>3.7484999999999999</v>
      </c>
      <c r="O70">
        <f>SalesData[[#This Row],[Subtotal]]-SalesData[[#This Row],[Discount_Amount]]</f>
        <v>71.221499999999992</v>
      </c>
      <c r="P70">
        <v>6.5</v>
      </c>
      <c r="Q70">
        <f>SUM(SalesData[[#This Row],[Net_Amount]]+SalesData[[#This Row],[Shipping_Cost]])</f>
        <v>77.721499999999992</v>
      </c>
      <c r="R70" t="str">
        <f>IF(SalesData[[#This Row],[Total Order Value]]&gt;200,"High Value",IF(SalesData[[#This Row],[Total Order Value]]&gt;100,"Medium Value","Low Value"))</f>
        <v>Low Value</v>
      </c>
      <c r="S70" t="s">
        <v>21</v>
      </c>
      <c r="T70" t="s">
        <v>22</v>
      </c>
    </row>
    <row r="71" spans="1:20" x14ac:dyDescent="0.3">
      <c r="A71" t="s">
        <v>275</v>
      </c>
      <c r="B71" s="1">
        <v>45440</v>
      </c>
      <c r="C71" s="1" t="str">
        <f>TEXT(SalesData[[#This Row],[Order_Date]],"MMMM")</f>
        <v>May</v>
      </c>
      <c r="D71" t="s">
        <v>276</v>
      </c>
      <c r="E71" t="s">
        <v>277</v>
      </c>
      <c r="F71" t="s">
        <v>34</v>
      </c>
      <c r="G71" t="s">
        <v>18</v>
      </c>
      <c r="H71" t="s">
        <v>19</v>
      </c>
      <c r="I71" t="s">
        <v>278</v>
      </c>
      <c r="J71">
        <v>4</v>
      </c>
      <c r="K71">
        <v>24.99</v>
      </c>
      <c r="L71">
        <f>SalesData[[#This Row],[Unit_Price]]*SalesData[[#This Row],[Quantity]]</f>
        <v>99.96</v>
      </c>
      <c r="M71">
        <v>10</v>
      </c>
      <c r="N71">
        <f>SalesData[[#This Row],[Subtotal]]*(SalesData[[#This Row],[Discount_Percent]]/100)</f>
        <v>9.9960000000000004</v>
      </c>
      <c r="O71">
        <f>SalesData[[#This Row],[Subtotal]]-SalesData[[#This Row],[Discount_Amount]]</f>
        <v>89.963999999999999</v>
      </c>
      <c r="P71">
        <v>3.99</v>
      </c>
      <c r="Q71">
        <f>SUM(SalesData[[#This Row],[Net_Amount]]+SalesData[[#This Row],[Shipping_Cost]])</f>
        <v>93.953999999999994</v>
      </c>
      <c r="R71" t="str">
        <f>IF(SalesData[[#This Row],[Total Order Value]]&gt;200,"High Value",IF(SalesData[[#This Row],[Total Order Value]]&gt;100,"Medium Value","Low Value"))</f>
        <v>Low Value</v>
      </c>
      <c r="S71" t="s">
        <v>30</v>
      </c>
      <c r="T71" t="s">
        <v>72</v>
      </c>
    </row>
    <row r="72" spans="1:20" x14ac:dyDescent="0.3">
      <c r="A72" t="s">
        <v>323</v>
      </c>
      <c r="B72" s="1">
        <v>45471</v>
      </c>
      <c r="C72" s="1" t="str">
        <f>TEXT(SalesData[[#This Row],[Order_Date]],"MMMM")</f>
        <v>June</v>
      </c>
      <c r="D72" t="s">
        <v>324</v>
      </c>
      <c r="E72" t="s">
        <v>325</v>
      </c>
      <c r="F72" t="s">
        <v>34</v>
      </c>
      <c r="G72" t="s">
        <v>18</v>
      </c>
      <c r="H72" t="s">
        <v>19</v>
      </c>
      <c r="I72" t="s">
        <v>326</v>
      </c>
      <c r="J72">
        <v>4</v>
      </c>
      <c r="K72">
        <v>29.99</v>
      </c>
      <c r="L72">
        <f>SalesData[[#This Row],[Unit_Price]]*SalesData[[#This Row],[Quantity]]</f>
        <v>119.96</v>
      </c>
      <c r="M72">
        <v>15</v>
      </c>
      <c r="N72">
        <f>SalesData[[#This Row],[Subtotal]]*(SalesData[[#This Row],[Discount_Percent]]/100)</f>
        <v>17.994</v>
      </c>
      <c r="O72">
        <f>SalesData[[#This Row],[Subtotal]]-SalesData[[#This Row],[Discount_Amount]]</f>
        <v>101.96599999999999</v>
      </c>
      <c r="P72">
        <v>5.99</v>
      </c>
      <c r="Q72">
        <f>SUM(SalesData[[#This Row],[Net_Amount]]+SalesData[[#This Row],[Shipping_Cost]])</f>
        <v>107.95599999999999</v>
      </c>
      <c r="R72" t="str">
        <f>IF(SalesData[[#This Row],[Total Order Value]]&gt;200,"High Value",IF(SalesData[[#This Row],[Total Order Value]]&gt;100,"Medium Value","Low Value"))</f>
        <v>Medium Value</v>
      </c>
      <c r="S72" t="s">
        <v>21</v>
      </c>
      <c r="T72" t="s">
        <v>22</v>
      </c>
    </row>
    <row r="73" spans="1:20" x14ac:dyDescent="0.3">
      <c r="A73" t="s">
        <v>371</v>
      </c>
      <c r="B73" s="1">
        <v>45501</v>
      </c>
      <c r="C73" s="1" t="str">
        <f>TEXT(SalesData[[#This Row],[Order_Date]],"MMMM")</f>
        <v>July</v>
      </c>
      <c r="D73" t="s">
        <v>372</v>
      </c>
      <c r="E73" t="s">
        <v>373</v>
      </c>
      <c r="F73" t="s">
        <v>34</v>
      </c>
      <c r="G73" t="s">
        <v>18</v>
      </c>
      <c r="H73" t="s">
        <v>19</v>
      </c>
      <c r="I73" t="s">
        <v>374</v>
      </c>
      <c r="J73">
        <v>1</v>
      </c>
      <c r="K73">
        <v>99.99</v>
      </c>
      <c r="L73">
        <f>SalesData[[#This Row],[Unit_Price]]*SalesData[[#This Row],[Quantity]]</f>
        <v>99.99</v>
      </c>
      <c r="M73">
        <v>0</v>
      </c>
      <c r="N73">
        <f>SalesData[[#This Row],[Subtotal]]*(SalesData[[#This Row],[Discount_Percent]]/100)</f>
        <v>0</v>
      </c>
      <c r="O73">
        <f>SalesData[[#This Row],[Subtotal]]-SalesData[[#This Row],[Discount_Amount]]</f>
        <v>99.99</v>
      </c>
      <c r="P73">
        <v>9.99</v>
      </c>
      <c r="Q73">
        <f>SUM(SalesData[[#This Row],[Net_Amount]]+SalesData[[#This Row],[Shipping_Cost]])</f>
        <v>109.97999999999999</v>
      </c>
      <c r="R73" t="str">
        <f>IF(SalesData[[#This Row],[Total Order Value]]&gt;200,"High Value",IF(SalesData[[#This Row],[Total Order Value]]&gt;100,"Medium Value","Low Value"))</f>
        <v>Medium Value</v>
      </c>
      <c r="S73" t="s">
        <v>21</v>
      </c>
      <c r="T73" t="s">
        <v>22</v>
      </c>
    </row>
    <row r="74" spans="1:20" x14ac:dyDescent="0.3">
      <c r="A74" t="s">
        <v>435</v>
      </c>
      <c r="B74" s="1">
        <v>45543</v>
      </c>
      <c r="C74" s="1" t="str">
        <f>TEXT(SalesData[[#This Row],[Order_Date]],"MMMM")</f>
        <v>September</v>
      </c>
      <c r="D74" t="s">
        <v>436</v>
      </c>
      <c r="E74" t="s">
        <v>437</v>
      </c>
      <c r="F74" t="s">
        <v>34</v>
      </c>
      <c r="G74" t="s">
        <v>35</v>
      </c>
      <c r="H74" t="s">
        <v>42</v>
      </c>
      <c r="I74" t="s">
        <v>438</v>
      </c>
      <c r="J74">
        <v>1</v>
      </c>
      <c r="K74">
        <v>119.99</v>
      </c>
      <c r="L74">
        <f>SalesData[[#This Row],[Unit_Price]]*SalesData[[#This Row],[Quantity]]</f>
        <v>119.99</v>
      </c>
      <c r="M74">
        <v>0</v>
      </c>
      <c r="N74">
        <f>SalesData[[#This Row],[Subtotal]]*(SalesData[[#This Row],[Discount_Percent]]/100)</f>
        <v>0</v>
      </c>
      <c r="O74">
        <f>SalesData[[#This Row],[Subtotal]]-SalesData[[#This Row],[Discount_Amount]]</f>
        <v>119.99</v>
      </c>
      <c r="P74">
        <v>12.99</v>
      </c>
      <c r="Q74">
        <f>SUM(SalesData[[#This Row],[Net_Amount]]+SalesData[[#This Row],[Shipping_Cost]])</f>
        <v>132.97999999999999</v>
      </c>
      <c r="R74" t="str">
        <f>IF(SalesData[[#This Row],[Total Order Value]]&gt;200,"High Value",IF(SalesData[[#This Row],[Total Order Value]]&gt;100,"Medium Value","Low Value"))</f>
        <v>Medium Value</v>
      </c>
      <c r="S74" t="s">
        <v>44</v>
      </c>
      <c r="T74" t="s">
        <v>22</v>
      </c>
    </row>
    <row r="75" spans="1:20" x14ac:dyDescent="0.3">
      <c r="A75" t="s">
        <v>131</v>
      </c>
      <c r="B75" s="1">
        <v>45350</v>
      </c>
      <c r="C75" s="1" t="str">
        <f>TEXT(SalesData[[#This Row],[Order_Date]],"MMMM")</f>
        <v>February</v>
      </c>
      <c r="D75" t="s">
        <v>132</v>
      </c>
      <c r="E75" t="s">
        <v>133</v>
      </c>
      <c r="F75" t="s">
        <v>34</v>
      </c>
      <c r="G75" t="s">
        <v>18</v>
      </c>
      <c r="H75" t="s">
        <v>19</v>
      </c>
      <c r="I75" t="s">
        <v>134</v>
      </c>
      <c r="J75">
        <v>1</v>
      </c>
      <c r="K75">
        <v>199.99</v>
      </c>
      <c r="L75">
        <f>SalesData[[#This Row],[Unit_Price]]*SalesData[[#This Row],[Quantity]]</f>
        <v>199.99</v>
      </c>
      <c r="M75">
        <v>15</v>
      </c>
      <c r="N75">
        <f>SalesData[[#This Row],[Subtotal]]*(SalesData[[#This Row],[Discount_Percent]]/100)</f>
        <v>29.9985</v>
      </c>
      <c r="O75">
        <f>SalesData[[#This Row],[Subtotal]]-SalesData[[#This Row],[Discount_Amount]]</f>
        <v>169.9915</v>
      </c>
      <c r="P75">
        <v>10.99</v>
      </c>
      <c r="Q75">
        <f>SUM(SalesData[[#This Row],[Net_Amount]]+SalesData[[#This Row],[Shipping_Cost]])</f>
        <v>180.98150000000001</v>
      </c>
      <c r="R75" t="str">
        <f>IF(SalesData[[#This Row],[Total Order Value]]&gt;200,"High Value",IF(SalesData[[#This Row],[Total Order Value]]&gt;100,"Medium Value","Low Value"))</f>
        <v>Medium Value</v>
      </c>
      <c r="S75" t="s">
        <v>21</v>
      </c>
      <c r="T75" t="s">
        <v>72</v>
      </c>
    </row>
    <row r="76" spans="1:20" x14ac:dyDescent="0.3">
      <c r="A76" t="s">
        <v>419</v>
      </c>
      <c r="B76" s="1">
        <v>45532</v>
      </c>
      <c r="C76" s="1" t="str">
        <f>TEXT(SalesData[[#This Row],[Order_Date]],"MMMM")</f>
        <v>August</v>
      </c>
      <c r="D76" t="s">
        <v>420</v>
      </c>
      <c r="E76" t="s">
        <v>421</v>
      </c>
      <c r="F76" t="s">
        <v>34</v>
      </c>
      <c r="G76" t="s">
        <v>18</v>
      </c>
      <c r="H76" t="s">
        <v>19</v>
      </c>
      <c r="I76" t="s">
        <v>422</v>
      </c>
      <c r="J76">
        <v>1</v>
      </c>
      <c r="K76">
        <v>499.99</v>
      </c>
      <c r="L76">
        <f>SalesData[[#This Row],[Unit_Price]]*SalesData[[#This Row],[Quantity]]</f>
        <v>499.99</v>
      </c>
      <c r="M76">
        <v>10</v>
      </c>
      <c r="N76">
        <f>SalesData[[#This Row],[Subtotal]]*(SalesData[[#This Row],[Discount_Percent]]/100)</f>
        <v>49.999000000000002</v>
      </c>
      <c r="O76">
        <f>SalesData[[#This Row],[Subtotal]]-SalesData[[#This Row],[Discount_Amount]]</f>
        <v>449.99099999999999</v>
      </c>
      <c r="P76">
        <v>24.99</v>
      </c>
      <c r="Q76">
        <f>SUM(SalesData[[#This Row],[Net_Amount]]+SalesData[[#This Row],[Shipping_Cost]])</f>
        <v>474.98099999999999</v>
      </c>
      <c r="R76" t="str">
        <f>IF(SalesData[[#This Row],[Total Order Value]]&gt;200,"High Value",IF(SalesData[[#This Row],[Total Order Value]]&gt;100,"Medium Value","Low Value"))</f>
        <v>High Value</v>
      </c>
      <c r="S76" t="s">
        <v>21</v>
      </c>
      <c r="T76" t="s">
        <v>72</v>
      </c>
    </row>
    <row r="77" spans="1:20" x14ac:dyDescent="0.3">
      <c r="A77" t="s">
        <v>151</v>
      </c>
      <c r="B77" s="1">
        <v>45361</v>
      </c>
      <c r="C77" s="1" t="str">
        <f>TEXT(SalesData[[#This Row],[Order_Date]],"MMMM")</f>
        <v>March</v>
      </c>
      <c r="D77" t="s">
        <v>152</v>
      </c>
      <c r="E77" t="s">
        <v>153</v>
      </c>
      <c r="F77" t="s">
        <v>40</v>
      </c>
      <c r="G77" t="s">
        <v>85</v>
      </c>
      <c r="H77" t="s">
        <v>59</v>
      </c>
      <c r="I77" t="s">
        <v>154</v>
      </c>
      <c r="J77">
        <v>1</v>
      </c>
      <c r="K77">
        <v>24.99</v>
      </c>
      <c r="L77">
        <f>SalesData[[#This Row],[Unit_Price]]*SalesData[[#This Row],[Quantity]]</f>
        <v>24.99</v>
      </c>
      <c r="M77">
        <v>0</v>
      </c>
      <c r="N77">
        <f>SalesData[[#This Row],[Subtotal]]*(SalesData[[#This Row],[Discount_Percent]]/100)</f>
        <v>0</v>
      </c>
      <c r="O77">
        <f>SalesData[[#This Row],[Subtotal]]-SalesData[[#This Row],[Discount_Amount]]</f>
        <v>24.99</v>
      </c>
      <c r="P77">
        <v>3.5</v>
      </c>
      <c r="Q77">
        <f>SUM(SalesData[[#This Row],[Net_Amount]]+SalesData[[#This Row],[Shipping_Cost]])</f>
        <v>28.49</v>
      </c>
      <c r="R77" t="str">
        <f>IF(SalesData[[#This Row],[Total Order Value]]&gt;200,"High Value",IF(SalesData[[#This Row],[Total Order Value]]&gt;100,"Medium Value","Low Value"))</f>
        <v>Low Value</v>
      </c>
      <c r="S77" t="s">
        <v>30</v>
      </c>
      <c r="T77" t="s">
        <v>22</v>
      </c>
    </row>
    <row r="78" spans="1:20" x14ac:dyDescent="0.3">
      <c r="A78" t="s">
        <v>215</v>
      </c>
      <c r="B78" s="1">
        <v>45402</v>
      </c>
      <c r="C78" s="1" t="str">
        <f>TEXT(SalesData[[#This Row],[Order_Date]],"MMMM")</f>
        <v>April</v>
      </c>
      <c r="D78" t="s">
        <v>216</v>
      </c>
      <c r="E78" t="s">
        <v>217</v>
      </c>
      <c r="F78" t="s">
        <v>40</v>
      </c>
      <c r="G78" t="s">
        <v>121</v>
      </c>
      <c r="H78" t="s">
        <v>19</v>
      </c>
      <c r="I78" t="s">
        <v>218</v>
      </c>
      <c r="J78">
        <v>1</v>
      </c>
      <c r="K78">
        <v>39.99</v>
      </c>
      <c r="L78">
        <f>SalesData[[#This Row],[Unit_Price]]*SalesData[[#This Row],[Quantity]]</f>
        <v>39.99</v>
      </c>
      <c r="M78">
        <v>10</v>
      </c>
      <c r="N78">
        <f>SalesData[[#This Row],[Subtotal]]*(SalesData[[#This Row],[Discount_Percent]]/100)</f>
        <v>3.9990000000000006</v>
      </c>
      <c r="O78">
        <f>SalesData[[#This Row],[Subtotal]]-SalesData[[#This Row],[Discount_Amount]]</f>
        <v>35.991</v>
      </c>
      <c r="P78">
        <v>5.99</v>
      </c>
      <c r="Q78">
        <f>SUM(SalesData[[#This Row],[Net_Amount]]+SalesData[[#This Row],[Shipping_Cost]])</f>
        <v>41.981000000000002</v>
      </c>
      <c r="R78" t="str">
        <f>IF(SalesData[[#This Row],[Total Order Value]]&gt;200,"High Value",IF(SalesData[[#This Row],[Total Order Value]]&gt;100,"Medium Value","Low Value"))</f>
        <v>Low Value</v>
      </c>
      <c r="S78" t="s">
        <v>44</v>
      </c>
      <c r="T78" t="s">
        <v>22</v>
      </c>
    </row>
    <row r="79" spans="1:20" x14ac:dyDescent="0.3">
      <c r="A79" t="s">
        <v>327</v>
      </c>
      <c r="B79" s="1">
        <v>45474</v>
      </c>
      <c r="C79" s="1" t="str">
        <f>TEXT(SalesData[[#This Row],[Order_Date]],"MMMM")</f>
        <v>July</v>
      </c>
      <c r="D79" t="s">
        <v>328</v>
      </c>
      <c r="E79" t="s">
        <v>329</v>
      </c>
      <c r="F79" t="s">
        <v>40</v>
      </c>
      <c r="G79" t="s">
        <v>65</v>
      </c>
      <c r="H79" t="s">
        <v>42</v>
      </c>
      <c r="I79" t="s">
        <v>330</v>
      </c>
      <c r="J79">
        <v>1</v>
      </c>
      <c r="K79">
        <v>39.99</v>
      </c>
      <c r="L79">
        <f>SalesData[[#This Row],[Unit_Price]]*SalesData[[#This Row],[Quantity]]</f>
        <v>39.99</v>
      </c>
      <c r="M79">
        <v>5</v>
      </c>
      <c r="N79">
        <f>SalesData[[#This Row],[Subtotal]]*(SalesData[[#This Row],[Discount_Percent]]/100)</f>
        <v>1.9995000000000003</v>
      </c>
      <c r="O79">
        <f>SalesData[[#This Row],[Subtotal]]-SalesData[[#This Row],[Discount_Amount]]</f>
        <v>37.990500000000004</v>
      </c>
      <c r="P79">
        <v>6.5</v>
      </c>
      <c r="Q79">
        <f>SUM(SalesData[[#This Row],[Net_Amount]]+SalesData[[#This Row],[Shipping_Cost]])</f>
        <v>44.490500000000004</v>
      </c>
      <c r="R79" t="str">
        <f>IF(SalesData[[#This Row],[Total Order Value]]&gt;200,"High Value",IF(SalesData[[#This Row],[Total Order Value]]&gt;100,"Medium Value","Low Value"))</f>
        <v>Low Value</v>
      </c>
      <c r="S79" t="s">
        <v>44</v>
      </c>
      <c r="T79" t="s">
        <v>22</v>
      </c>
    </row>
    <row r="80" spans="1:20" x14ac:dyDescent="0.3">
      <c r="A80" t="s">
        <v>343</v>
      </c>
      <c r="B80" s="1">
        <v>45483</v>
      </c>
      <c r="C80" s="1" t="str">
        <f>TEXT(SalesData[[#This Row],[Order_Date]],"MMMM")</f>
        <v>July</v>
      </c>
      <c r="D80" t="s">
        <v>344</v>
      </c>
      <c r="E80" t="s">
        <v>345</v>
      </c>
      <c r="F80" t="s">
        <v>40</v>
      </c>
      <c r="G80" t="s">
        <v>104</v>
      </c>
      <c r="H80" t="s">
        <v>42</v>
      </c>
      <c r="I80" t="s">
        <v>346</v>
      </c>
      <c r="J80">
        <v>3</v>
      </c>
      <c r="K80">
        <v>19.989999999999998</v>
      </c>
      <c r="L80">
        <f>SalesData[[#This Row],[Unit_Price]]*SalesData[[#This Row],[Quantity]]</f>
        <v>59.97</v>
      </c>
      <c r="M80">
        <v>25</v>
      </c>
      <c r="N80">
        <f>SalesData[[#This Row],[Subtotal]]*(SalesData[[#This Row],[Discount_Percent]]/100)</f>
        <v>14.9925</v>
      </c>
      <c r="O80">
        <f>SalesData[[#This Row],[Subtotal]]-SalesData[[#This Row],[Discount_Amount]]</f>
        <v>44.977499999999999</v>
      </c>
      <c r="P80">
        <v>5.5</v>
      </c>
      <c r="Q80">
        <f>SUM(SalesData[[#This Row],[Net_Amount]]+SalesData[[#This Row],[Shipping_Cost]])</f>
        <v>50.477499999999999</v>
      </c>
      <c r="R80" t="str">
        <f>IF(SalesData[[#This Row],[Total Order Value]]&gt;200,"High Value",IF(SalesData[[#This Row],[Total Order Value]]&gt;100,"Medium Value","Low Value"))</f>
        <v>Low Value</v>
      </c>
      <c r="S80" t="s">
        <v>21</v>
      </c>
      <c r="T80" t="s">
        <v>22</v>
      </c>
    </row>
    <row r="81" spans="1:20" x14ac:dyDescent="0.3">
      <c r="A81" t="s">
        <v>118</v>
      </c>
      <c r="B81" s="1">
        <v>45342</v>
      </c>
      <c r="C81" s="1" t="str">
        <f>TEXT(SalesData[[#This Row],[Order_Date]],"MMMM")</f>
        <v>February</v>
      </c>
      <c r="D81" t="s">
        <v>119</v>
      </c>
      <c r="E81" t="s">
        <v>120</v>
      </c>
      <c r="F81" t="s">
        <v>40</v>
      </c>
      <c r="G81" t="s">
        <v>121</v>
      </c>
      <c r="H81" t="s">
        <v>19</v>
      </c>
      <c r="I81" t="s">
        <v>122</v>
      </c>
      <c r="J81">
        <v>6</v>
      </c>
      <c r="K81">
        <v>9.99</v>
      </c>
      <c r="L81">
        <f>SalesData[[#This Row],[Unit_Price]]*SalesData[[#This Row],[Quantity]]</f>
        <v>59.94</v>
      </c>
      <c r="M81">
        <v>15</v>
      </c>
      <c r="N81">
        <f>SalesData[[#This Row],[Subtotal]]*(SalesData[[#This Row],[Discount_Percent]]/100)</f>
        <v>8.9909999999999997</v>
      </c>
      <c r="O81">
        <f>SalesData[[#This Row],[Subtotal]]-SalesData[[#This Row],[Discount_Amount]]</f>
        <v>50.948999999999998</v>
      </c>
      <c r="P81">
        <v>2.99</v>
      </c>
      <c r="Q81">
        <f>SUM(SalesData[[#This Row],[Net_Amount]]+SalesData[[#This Row],[Shipping_Cost]])</f>
        <v>53.939</v>
      </c>
      <c r="R81" t="str">
        <f>IF(SalesData[[#This Row],[Total Order Value]]&gt;200,"High Value",IF(SalesData[[#This Row],[Total Order Value]]&gt;100,"Medium Value","Low Value"))</f>
        <v>Low Value</v>
      </c>
      <c r="S81" t="s">
        <v>30</v>
      </c>
      <c r="T81" t="s">
        <v>61</v>
      </c>
    </row>
    <row r="82" spans="1:20" x14ac:dyDescent="0.3">
      <c r="A82" t="s">
        <v>37</v>
      </c>
      <c r="B82" s="1">
        <v>45301</v>
      </c>
      <c r="C82" s="1" t="str">
        <f>TEXT(SalesData[[#This Row],[Order_Date]],"MMMM")</f>
        <v>January</v>
      </c>
      <c r="D82" t="s">
        <v>38</v>
      </c>
      <c r="E82" t="s">
        <v>39</v>
      </c>
      <c r="F82" t="s">
        <v>40</v>
      </c>
      <c r="G82" t="s">
        <v>41</v>
      </c>
      <c r="H82" t="s">
        <v>42</v>
      </c>
      <c r="I82" t="s">
        <v>43</v>
      </c>
      <c r="J82">
        <v>3</v>
      </c>
      <c r="K82">
        <v>19.989999999999998</v>
      </c>
      <c r="L82">
        <f>SalesData[[#This Row],[Unit_Price]]*SalesData[[#This Row],[Quantity]]</f>
        <v>59.97</v>
      </c>
      <c r="M82">
        <v>20</v>
      </c>
      <c r="N82">
        <f>SalesData[[#This Row],[Subtotal]]*(SalesData[[#This Row],[Discount_Percent]]/100)</f>
        <v>11.994</v>
      </c>
      <c r="O82">
        <f>SalesData[[#This Row],[Subtotal]]-SalesData[[#This Row],[Discount_Amount]]</f>
        <v>47.975999999999999</v>
      </c>
      <c r="P82">
        <v>6.5</v>
      </c>
      <c r="Q82">
        <f>SUM(SalesData[[#This Row],[Net_Amount]]+SalesData[[#This Row],[Shipping_Cost]])</f>
        <v>54.475999999999999</v>
      </c>
      <c r="R82" t="str">
        <f>IF(SalesData[[#This Row],[Total Order Value]]&gt;200,"High Value",IF(SalesData[[#This Row],[Total Order Value]]&gt;100,"Medium Value","Low Value"))</f>
        <v>Low Value</v>
      </c>
      <c r="S82" t="s">
        <v>44</v>
      </c>
      <c r="T82" t="s">
        <v>22</v>
      </c>
    </row>
    <row r="83" spans="1:20" x14ac:dyDescent="0.3">
      <c r="A83" t="s">
        <v>295</v>
      </c>
      <c r="B83" s="1">
        <v>45453</v>
      </c>
      <c r="C83" s="1" t="str">
        <f>TEXT(SalesData[[#This Row],[Order_Date]],"MMMM")</f>
        <v>June</v>
      </c>
      <c r="D83" t="s">
        <v>296</v>
      </c>
      <c r="E83" t="s">
        <v>297</v>
      </c>
      <c r="F83" t="s">
        <v>40</v>
      </c>
      <c r="G83" t="s">
        <v>121</v>
      </c>
      <c r="H83" t="s">
        <v>59</v>
      </c>
      <c r="I83" t="s">
        <v>298</v>
      </c>
      <c r="J83">
        <v>1</v>
      </c>
      <c r="K83">
        <v>54.99</v>
      </c>
      <c r="L83">
        <f>SalesData[[#This Row],[Unit_Price]]*SalesData[[#This Row],[Quantity]]</f>
        <v>54.99</v>
      </c>
      <c r="M83">
        <v>10</v>
      </c>
      <c r="N83">
        <f>SalesData[[#This Row],[Subtotal]]*(SalesData[[#This Row],[Discount_Percent]]/100)</f>
        <v>5.4990000000000006</v>
      </c>
      <c r="O83">
        <f>SalesData[[#This Row],[Subtotal]]-SalesData[[#This Row],[Discount_Amount]]</f>
        <v>49.491</v>
      </c>
      <c r="P83">
        <v>4.99</v>
      </c>
      <c r="Q83">
        <f>SUM(SalesData[[#This Row],[Net_Amount]]+SalesData[[#This Row],[Shipping_Cost]])</f>
        <v>54.481000000000002</v>
      </c>
      <c r="R83" t="str">
        <f>IF(SalesData[[#This Row],[Total Order Value]]&gt;200,"High Value",IF(SalesData[[#This Row],[Total Order Value]]&gt;100,"Medium Value","Low Value"))</f>
        <v>Low Value</v>
      </c>
      <c r="S83" t="s">
        <v>21</v>
      </c>
      <c r="T83" t="s">
        <v>22</v>
      </c>
    </row>
    <row r="84" spans="1:20" x14ac:dyDescent="0.3">
      <c r="A84" t="s">
        <v>423</v>
      </c>
      <c r="B84" s="1">
        <v>45536</v>
      </c>
      <c r="C84" s="1" t="str">
        <f>TEXT(SalesData[[#This Row],[Order_Date]],"MMMM")</f>
        <v>September</v>
      </c>
      <c r="D84" t="s">
        <v>424</v>
      </c>
      <c r="E84" t="s">
        <v>425</v>
      </c>
      <c r="F84" t="s">
        <v>40</v>
      </c>
      <c r="G84" t="s">
        <v>104</v>
      </c>
      <c r="H84" t="s">
        <v>59</v>
      </c>
      <c r="I84" t="s">
        <v>426</v>
      </c>
      <c r="J84">
        <v>3</v>
      </c>
      <c r="K84">
        <v>19.989999999999998</v>
      </c>
      <c r="L84">
        <f>SalesData[[#This Row],[Unit_Price]]*SalesData[[#This Row],[Quantity]]</f>
        <v>59.97</v>
      </c>
      <c r="M84">
        <v>0</v>
      </c>
      <c r="N84">
        <f>SalesData[[#This Row],[Subtotal]]*(SalesData[[#This Row],[Discount_Percent]]/100)</f>
        <v>0</v>
      </c>
      <c r="O84">
        <f>SalesData[[#This Row],[Subtotal]]-SalesData[[#This Row],[Discount_Amount]]</f>
        <v>59.97</v>
      </c>
      <c r="P84">
        <v>4.99</v>
      </c>
      <c r="Q84">
        <f>SUM(SalesData[[#This Row],[Net_Amount]]+SalesData[[#This Row],[Shipping_Cost]])</f>
        <v>64.959999999999994</v>
      </c>
      <c r="R84" t="str">
        <f>IF(SalesData[[#This Row],[Total Order Value]]&gt;200,"High Value",IF(SalesData[[#This Row],[Total Order Value]]&gt;100,"Medium Value","Low Value"))</f>
        <v>Low Value</v>
      </c>
      <c r="S84" t="s">
        <v>44</v>
      </c>
      <c r="T84" t="s">
        <v>22</v>
      </c>
    </row>
    <row r="85" spans="1:20" x14ac:dyDescent="0.3">
      <c r="A85" t="s">
        <v>279</v>
      </c>
      <c r="B85" s="1">
        <v>45444</v>
      </c>
      <c r="C85" s="1" t="str">
        <f>TEXT(SalesData[[#This Row],[Order_Date]],"MMMM")</f>
        <v>June</v>
      </c>
      <c r="D85" t="s">
        <v>280</v>
      </c>
      <c r="E85" t="s">
        <v>281</v>
      </c>
      <c r="F85" t="s">
        <v>40</v>
      </c>
      <c r="G85" t="s">
        <v>41</v>
      </c>
      <c r="H85" t="s">
        <v>59</v>
      </c>
      <c r="I85" t="s">
        <v>282</v>
      </c>
      <c r="J85">
        <v>1</v>
      </c>
      <c r="K85">
        <v>59.99</v>
      </c>
      <c r="L85">
        <f>SalesData[[#This Row],[Unit_Price]]*SalesData[[#This Row],[Quantity]]</f>
        <v>59.99</v>
      </c>
      <c r="M85">
        <v>0</v>
      </c>
      <c r="N85">
        <f>SalesData[[#This Row],[Subtotal]]*(SalesData[[#This Row],[Discount_Percent]]/100)</f>
        <v>0</v>
      </c>
      <c r="O85">
        <f>SalesData[[#This Row],[Subtotal]]-SalesData[[#This Row],[Discount_Amount]]</f>
        <v>59.99</v>
      </c>
      <c r="P85">
        <v>5.99</v>
      </c>
      <c r="Q85">
        <f>SUM(SalesData[[#This Row],[Net_Amount]]+SalesData[[#This Row],[Shipping_Cost]])</f>
        <v>65.98</v>
      </c>
      <c r="R85" t="str">
        <f>IF(SalesData[[#This Row],[Total Order Value]]&gt;200,"High Value",IF(SalesData[[#This Row],[Total Order Value]]&gt;100,"Medium Value","Low Value"))</f>
        <v>Low Value</v>
      </c>
      <c r="S85" t="s">
        <v>21</v>
      </c>
      <c r="T85" t="s">
        <v>22</v>
      </c>
    </row>
    <row r="86" spans="1:20" x14ac:dyDescent="0.3">
      <c r="A86" t="s">
        <v>199</v>
      </c>
      <c r="B86" s="1">
        <v>45392</v>
      </c>
      <c r="C86" s="1" t="str">
        <f>TEXT(SalesData[[#This Row],[Order_Date]],"MMMM")</f>
        <v>April</v>
      </c>
      <c r="D86" t="s">
        <v>200</v>
      </c>
      <c r="E86" t="s">
        <v>201</v>
      </c>
      <c r="F86" t="s">
        <v>40</v>
      </c>
      <c r="G86" t="s">
        <v>41</v>
      </c>
      <c r="H86" t="s">
        <v>42</v>
      </c>
      <c r="I86" t="s">
        <v>202</v>
      </c>
      <c r="J86">
        <v>2</v>
      </c>
      <c r="K86">
        <v>39.99</v>
      </c>
      <c r="L86">
        <f>SalesData[[#This Row],[Unit_Price]]*SalesData[[#This Row],[Quantity]]</f>
        <v>79.98</v>
      </c>
      <c r="M86">
        <v>20</v>
      </c>
      <c r="N86">
        <f>SalesData[[#This Row],[Subtotal]]*(SalesData[[#This Row],[Discount_Percent]]/100)</f>
        <v>15.996000000000002</v>
      </c>
      <c r="O86">
        <f>SalesData[[#This Row],[Subtotal]]-SalesData[[#This Row],[Discount_Amount]]</f>
        <v>63.984000000000002</v>
      </c>
      <c r="P86">
        <v>6.99</v>
      </c>
      <c r="Q86">
        <f>SUM(SalesData[[#This Row],[Net_Amount]]+SalesData[[#This Row],[Shipping_Cost]])</f>
        <v>70.974000000000004</v>
      </c>
      <c r="R86" t="str">
        <f>IF(SalesData[[#This Row],[Total Order Value]]&gt;200,"High Value",IF(SalesData[[#This Row],[Total Order Value]]&gt;100,"Medium Value","Low Value"))</f>
        <v>Low Value</v>
      </c>
      <c r="S86" t="s">
        <v>44</v>
      </c>
      <c r="T86" t="s">
        <v>22</v>
      </c>
    </row>
    <row r="87" spans="1:20" x14ac:dyDescent="0.3">
      <c r="A87" t="s">
        <v>82</v>
      </c>
      <c r="B87" s="1">
        <v>45323</v>
      </c>
      <c r="C87" s="1" t="str">
        <f>TEXT(SalesData[[#This Row],[Order_Date]],"MMMM")</f>
        <v>February</v>
      </c>
      <c r="D87" t="s">
        <v>83</v>
      </c>
      <c r="E87" t="s">
        <v>84</v>
      </c>
      <c r="F87" t="s">
        <v>40</v>
      </c>
      <c r="G87" t="s">
        <v>85</v>
      </c>
      <c r="H87" t="s">
        <v>28</v>
      </c>
      <c r="I87" t="s">
        <v>86</v>
      </c>
      <c r="J87">
        <v>3</v>
      </c>
      <c r="K87">
        <v>24.99</v>
      </c>
      <c r="L87">
        <f>SalesData[[#This Row],[Unit_Price]]*SalesData[[#This Row],[Quantity]]</f>
        <v>74.97</v>
      </c>
      <c r="M87">
        <v>0</v>
      </c>
      <c r="N87">
        <f>SalesData[[#This Row],[Subtotal]]*(SalesData[[#This Row],[Discount_Percent]]/100)</f>
        <v>0</v>
      </c>
      <c r="O87">
        <f>SalesData[[#This Row],[Subtotal]]-SalesData[[#This Row],[Discount_Amount]]</f>
        <v>74.97</v>
      </c>
      <c r="P87">
        <v>5.99</v>
      </c>
      <c r="Q87">
        <f>SUM(SalesData[[#This Row],[Net_Amount]]+SalesData[[#This Row],[Shipping_Cost]])</f>
        <v>80.959999999999994</v>
      </c>
      <c r="R87" t="str">
        <f>IF(SalesData[[#This Row],[Total Order Value]]&gt;200,"High Value",IF(SalesData[[#This Row],[Total Order Value]]&gt;100,"Medium Value","Low Value"))</f>
        <v>Low Value</v>
      </c>
      <c r="S87" t="s">
        <v>30</v>
      </c>
      <c r="T87" t="s">
        <v>22</v>
      </c>
    </row>
    <row r="88" spans="1:20" x14ac:dyDescent="0.3">
      <c r="A88" t="s">
        <v>311</v>
      </c>
      <c r="B88" s="1">
        <v>45463</v>
      </c>
      <c r="C88" s="1" t="str">
        <f>TEXT(SalesData[[#This Row],[Order_Date]],"MMMM")</f>
        <v>June</v>
      </c>
      <c r="D88" t="s">
        <v>312</v>
      </c>
      <c r="E88" t="s">
        <v>313</v>
      </c>
      <c r="F88" t="s">
        <v>40</v>
      </c>
      <c r="G88" t="s">
        <v>85</v>
      </c>
      <c r="H88" t="s">
        <v>19</v>
      </c>
      <c r="I88" t="s">
        <v>314</v>
      </c>
      <c r="J88">
        <v>1</v>
      </c>
      <c r="K88">
        <v>89.99</v>
      </c>
      <c r="L88">
        <f>SalesData[[#This Row],[Unit_Price]]*SalesData[[#This Row],[Quantity]]</f>
        <v>89.99</v>
      </c>
      <c r="M88">
        <v>20</v>
      </c>
      <c r="N88">
        <f>SalesData[[#This Row],[Subtotal]]*(SalesData[[#This Row],[Discount_Percent]]/100)</f>
        <v>17.998000000000001</v>
      </c>
      <c r="O88">
        <f>SalesData[[#This Row],[Subtotal]]-SalesData[[#This Row],[Discount_Amount]]</f>
        <v>71.99199999999999</v>
      </c>
      <c r="P88">
        <v>9.99</v>
      </c>
      <c r="Q88">
        <f>SUM(SalesData[[#This Row],[Net_Amount]]+SalesData[[#This Row],[Shipping_Cost]])</f>
        <v>81.981999999999985</v>
      </c>
      <c r="R88" t="str">
        <f>IF(SalesData[[#This Row],[Total Order Value]]&gt;200,"High Value",IF(SalesData[[#This Row],[Total Order Value]]&gt;100,"Medium Value","Low Value"))</f>
        <v>Low Value</v>
      </c>
      <c r="S88" t="s">
        <v>44</v>
      </c>
      <c r="T88" t="s">
        <v>22</v>
      </c>
    </row>
    <row r="89" spans="1:20" x14ac:dyDescent="0.3">
      <c r="A89" t="s">
        <v>183</v>
      </c>
      <c r="B89" s="1">
        <v>45383</v>
      </c>
      <c r="C89" s="1" t="str">
        <f>TEXT(SalesData[[#This Row],[Order_Date]],"MMMM")</f>
        <v>April</v>
      </c>
      <c r="D89" t="s">
        <v>184</v>
      </c>
      <c r="E89" t="s">
        <v>185</v>
      </c>
      <c r="F89" t="s">
        <v>40</v>
      </c>
      <c r="G89" t="s">
        <v>104</v>
      </c>
      <c r="H89" t="s">
        <v>42</v>
      </c>
      <c r="I89" t="s">
        <v>186</v>
      </c>
      <c r="J89">
        <v>2</v>
      </c>
      <c r="K89">
        <v>49.99</v>
      </c>
      <c r="L89">
        <f>SalesData[[#This Row],[Unit_Price]]*SalesData[[#This Row],[Quantity]]</f>
        <v>99.98</v>
      </c>
      <c r="M89">
        <v>25</v>
      </c>
      <c r="N89">
        <f>SalesData[[#This Row],[Subtotal]]*(SalesData[[#This Row],[Discount_Percent]]/100)</f>
        <v>24.995000000000001</v>
      </c>
      <c r="O89">
        <f>SalesData[[#This Row],[Subtotal]]-SalesData[[#This Row],[Discount_Amount]]</f>
        <v>74.984999999999999</v>
      </c>
      <c r="P89">
        <v>7.5</v>
      </c>
      <c r="Q89">
        <f>SUM(SalesData[[#This Row],[Net_Amount]]+SalesData[[#This Row],[Shipping_Cost]])</f>
        <v>82.484999999999999</v>
      </c>
      <c r="R89" t="str">
        <f>IF(SalesData[[#This Row],[Total Order Value]]&gt;200,"High Value",IF(SalesData[[#This Row],[Total Order Value]]&gt;100,"Medium Value","Low Value"))</f>
        <v>Low Value</v>
      </c>
      <c r="S89" t="s">
        <v>21</v>
      </c>
      <c r="T89" t="s">
        <v>22</v>
      </c>
    </row>
    <row r="90" spans="1:20" x14ac:dyDescent="0.3">
      <c r="A90" t="s">
        <v>391</v>
      </c>
      <c r="B90" s="1">
        <v>45514</v>
      </c>
      <c r="C90" s="1" t="str">
        <f>TEXT(SalesData[[#This Row],[Order_Date]],"MMMM")</f>
        <v>August</v>
      </c>
      <c r="D90" t="s">
        <v>392</v>
      </c>
      <c r="E90" t="s">
        <v>393</v>
      </c>
      <c r="F90" t="s">
        <v>40</v>
      </c>
      <c r="G90" t="s">
        <v>121</v>
      </c>
      <c r="H90" t="s">
        <v>28</v>
      </c>
      <c r="I90" t="s">
        <v>394</v>
      </c>
      <c r="J90">
        <v>2</v>
      </c>
      <c r="K90">
        <v>44.99</v>
      </c>
      <c r="L90">
        <f>SalesData[[#This Row],[Unit_Price]]*SalesData[[#This Row],[Quantity]]</f>
        <v>89.98</v>
      </c>
      <c r="M90">
        <v>15</v>
      </c>
      <c r="N90">
        <f>SalesData[[#This Row],[Subtotal]]*(SalesData[[#This Row],[Discount_Percent]]/100)</f>
        <v>13.497</v>
      </c>
      <c r="O90">
        <f>SalesData[[#This Row],[Subtotal]]-SalesData[[#This Row],[Discount_Amount]]</f>
        <v>76.483000000000004</v>
      </c>
      <c r="P90">
        <v>6.5</v>
      </c>
      <c r="Q90">
        <f>SUM(SalesData[[#This Row],[Net_Amount]]+SalesData[[#This Row],[Shipping_Cost]])</f>
        <v>82.983000000000004</v>
      </c>
      <c r="R90" t="str">
        <f>IF(SalesData[[#This Row],[Total Order Value]]&gt;200,"High Value",IF(SalesData[[#This Row],[Total Order Value]]&gt;100,"Medium Value","Low Value"))</f>
        <v>Low Value</v>
      </c>
      <c r="S90" t="s">
        <v>21</v>
      </c>
      <c r="T90" t="s">
        <v>72</v>
      </c>
    </row>
    <row r="91" spans="1:20" x14ac:dyDescent="0.3">
      <c r="A91" t="s">
        <v>439</v>
      </c>
      <c r="B91" s="1">
        <v>45545</v>
      </c>
      <c r="C91" s="1" t="str">
        <f>TEXT(SalesData[[#This Row],[Order_Date]],"MMMM")</f>
        <v>September</v>
      </c>
      <c r="D91" t="s">
        <v>440</v>
      </c>
      <c r="E91" t="s">
        <v>441</v>
      </c>
      <c r="F91" t="s">
        <v>40</v>
      </c>
      <c r="G91" t="s">
        <v>41</v>
      </c>
      <c r="H91" t="s">
        <v>59</v>
      </c>
      <c r="I91" t="s">
        <v>442</v>
      </c>
      <c r="J91">
        <v>2</v>
      </c>
      <c r="K91">
        <v>44.99</v>
      </c>
      <c r="L91">
        <f>SalesData[[#This Row],[Unit_Price]]*SalesData[[#This Row],[Quantity]]</f>
        <v>89.98</v>
      </c>
      <c r="M91">
        <v>10</v>
      </c>
      <c r="N91">
        <f>SalesData[[#This Row],[Subtotal]]*(SalesData[[#This Row],[Discount_Percent]]/100)</f>
        <v>8.9980000000000011</v>
      </c>
      <c r="O91">
        <f>SalesData[[#This Row],[Subtotal]]-SalesData[[#This Row],[Discount_Amount]]</f>
        <v>80.981999999999999</v>
      </c>
      <c r="P91">
        <v>5.5</v>
      </c>
      <c r="Q91">
        <f>SUM(SalesData[[#This Row],[Net_Amount]]+SalesData[[#This Row],[Shipping_Cost]])</f>
        <v>86.481999999999999</v>
      </c>
      <c r="R91" t="str">
        <f>IF(SalesData[[#This Row],[Total Order Value]]&gt;200,"High Value",IF(SalesData[[#This Row],[Total Order Value]]&gt;100,"Medium Value","Low Value"))</f>
        <v>Low Value</v>
      </c>
      <c r="S91" t="s">
        <v>21</v>
      </c>
      <c r="T91" t="s">
        <v>22</v>
      </c>
    </row>
    <row r="92" spans="1:20" x14ac:dyDescent="0.3">
      <c r="A92" t="s">
        <v>231</v>
      </c>
      <c r="B92" s="1">
        <v>45413</v>
      </c>
      <c r="C92" s="1" t="str">
        <f>TEXT(SalesData[[#This Row],[Order_Date]],"MMMM")</f>
        <v>May</v>
      </c>
      <c r="D92" t="s">
        <v>232</v>
      </c>
      <c r="E92" t="s">
        <v>233</v>
      </c>
      <c r="F92" t="s">
        <v>40</v>
      </c>
      <c r="G92" t="s">
        <v>85</v>
      </c>
      <c r="H92" t="s">
        <v>28</v>
      </c>
      <c r="I92" t="s">
        <v>234</v>
      </c>
      <c r="J92">
        <v>2</v>
      </c>
      <c r="K92">
        <v>44.99</v>
      </c>
      <c r="L92">
        <f>SalesData[[#This Row],[Unit_Price]]*SalesData[[#This Row],[Quantity]]</f>
        <v>89.98</v>
      </c>
      <c r="M92">
        <v>10</v>
      </c>
      <c r="N92">
        <f>SalesData[[#This Row],[Subtotal]]*(SalesData[[#This Row],[Discount_Percent]]/100)</f>
        <v>8.9980000000000011</v>
      </c>
      <c r="O92">
        <f>SalesData[[#This Row],[Subtotal]]-SalesData[[#This Row],[Discount_Amount]]</f>
        <v>80.981999999999999</v>
      </c>
      <c r="P92">
        <v>6.99</v>
      </c>
      <c r="Q92">
        <f>SUM(SalesData[[#This Row],[Net_Amount]]+SalesData[[#This Row],[Shipping_Cost]])</f>
        <v>87.971999999999994</v>
      </c>
      <c r="R92" t="str">
        <f>IF(SalesData[[#This Row],[Total Order Value]]&gt;200,"High Value",IF(SalesData[[#This Row],[Total Order Value]]&gt;100,"Medium Value","Low Value"))</f>
        <v>Low Value</v>
      </c>
      <c r="S92" t="s">
        <v>21</v>
      </c>
      <c r="T92" t="s">
        <v>22</v>
      </c>
    </row>
    <row r="93" spans="1:20" x14ac:dyDescent="0.3">
      <c r="A93" t="s">
        <v>135</v>
      </c>
      <c r="B93" s="1">
        <v>45352</v>
      </c>
      <c r="C93" s="1" t="str">
        <f>TEXT(SalesData[[#This Row],[Order_Date]],"MMMM")</f>
        <v>March</v>
      </c>
      <c r="D93" t="s">
        <v>136</v>
      </c>
      <c r="E93" t="s">
        <v>137</v>
      </c>
      <c r="F93" t="s">
        <v>40</v>
      </c>
      <c r="G93" t="s">
        <v>41</v>
      </c>
      <c r="H93" t="s">
        <v>59</v>
      </c>
      <c r="I93" t="s">
        <v>138</v>
      </c>
      <c r="J93">
        <v>3</v>
      </c>
      <c r="K93">
        <v>29.99</v>
      </c>
      <c r="L93">
        <f>SalesData[[#This Row],[Unit_Price]]*SalesData[[#This Row],[Quantity]]</f>
        <v>89.97</v>
      </c>
      <c r="M93">
        <v>5</v>
      </c>
      <c r="N93">
        <f>SalesData[[#This Row],[Subtotal]]*(SalesData[[#This Row],[Discount_Percent]]/100)</f>
        <v>4.4984999999999999</v>
      </c>
      <c r="O93">
        <f>SalesData[[#This Row],[Subtotal]]-SalesData[[#This Row],[Discount_Amount]]</f>
        <v>85.471499999999992</v>
      </c>
      <c r="P93">
        <v>4.5</v>
      </c>
      <c r="Q93">
        <f>SUM(SalesData[[#This Row],[Net_Amount]]+SalesData[[#This Row],[Shipping_Cost]])</f>
        <v>89.971499999999992</v>
      </c>
      <c r="R93" t="str">
        <f>IF(SalesData[[#This Row],[Total Order Value]]&gt;200,"High Value",IF(SalesData[[#This Row],[Total Order Value]]&gt;100,"Medium Value","Low Value"))</f>
        <v>Low Value</v>
      </c>
      <c r="S93" t="s">
        <v>30</v>
      </c>
      <c r="T93" t="s">
        <v>22</v>
      </c>
    </row>
    <row r="94" spans="1:20" x14ac:dyDescent="0.3">
      <c r="A94" t="s">
        <v>62</v>
      </c>
      <c r="B94" s="1">
        <v>45311</v>
      </c>
      <c r="C94" s="1" t="str">
        <f>TEXT(SalesData[[#This Row],[Order_Date]],"MMMM")</f>
        <v>January</v>
      </c>
      <c r="D94" t="s">
        <v>63</v>
      </c>
      <c r="E94" t="s">
        <v>64</v>
      </c>
      <c r="F94" t="s">
        <v>40</v>
      </c>
      <c r="G94" t="s">
        <v>65</v>
      </c>
      <c r="H94" t="s">
        <v>42</v>
      </c>
      <c r="I94" t="s">
        <v>66</v>
      </c>
      <c r="J94">
        <v>2</v>
      </c>
      <c r="K94">
        <v>59.99</v>
      </c>
      <c r="L94">
        <f>SalesData[[#This Row],[Unit_Price]]*SalesData[[#This Row],[Quantity]]</f>
        <v>119.98</v>
      </c>
      <c r="M94">
        <v>15</v>
      </c>
      <c r="N94">
        <f>SalesData[[#This Row],[Subtotal]]*(SalesData[[#This Row],[Discount_Percent]]/100)</f>
        <v>17.997</v>
      </c>
      <c r="O94">
        <f>SalesData[[#This Row],[Subtotal]]-SalesData[[#This Row],[Discount_Amount]]</f>
        <v>101.983</v>
      </c>
      <c r="P94">
        <v>7.99</v>
      </c>
      <c r="Q94">
        <f>SUM(SalesData[[#This Row],[Net_Amount]]+SalesData[[#This Row],[Shipping_Cost]])</f>
        <v>109.973</v>
      </c>
      <c r="R94" t="str">
        <f>IF(SalesData[[#This Row],[Total Order Value]]&gt;200,"High Value",IF(SalesData[[#This Row],[Total Order Value]]&gt;100,"Medium Value","Low Value"))</f>
        <v>Medium Value</v>
      </c>
      <c r="S94" t="s">
        <v>21</v>
      </c>
      <c r="T94" t="s">
        <v>22</v>
      </c>
    </row>
    <row r="95" spans="1:20" x14ac:dyDescent="0.3">
      <c r="A95" t="s">
        <v>375</v>
      </c>
      <c r="B95" s="1">
        <v>45505</v>
      </c>
      <c r="C95" s="1" t="str">
        <f>TEXT(SalesData[[#This Row],[Order_Date]],"MMMM")</f>
        <v>August</v>
      </c>
      <c r="D95" t="s">
        <v>376</v>
      </c>
      <c r="E95" t="s">
        <v>377</v>
      </c>
      <c r="F95" t="s">
        <v>40</v>
      </c>
      <c r="G95" t="s">
        <v>85</v>
      </c>
      <c r="H95" t="s">
        <v>28</v>
      </c>
      <c r="I95" t="s">
        <v>378</v>
      </c>
      <c r="J95">
        <v>3</v>
      </c>
      <c r="K95">
        <v>39.99</v>
      </c>
      <c r="L95">
        <f>SalesData[[#This Row],[Unit_Price]]*SalesData[[#This Row],[Quantity]]</f>
        <v>119.97</v>
      </c>
      <c r="M95">
        <v>10</v>
      </c>
      <c r="N95">
        <f>SalesData[[#This Row],[Subtotal]]*(SalesData[[#This Row],[Discount_Percent]]/100)</f>
        <v>11.997</v>
      </c>
      <c r="O95">
        <f>SalesData[[#This Row],[Subtotal]]-SalesData[[#This Row],[Discount_Amount]]</f>
        <v>107.973</v>
      </c>
      <c r="P95">
        <v>6.99</v>
      </c>
      <c r="Q95">
        <f>SUM(SalesData[[#This Row],[Net_Amount]]+SalesData[[#This Row],[Shipping_Cost]])</f>
        <v>114.96299999999999</v>
      </c>
      <c r="R95" t="str">
        <f>IF(SalesData[[#This Row],[Total Order Value]]&gt;200,"High Value",IF(SalesData[[#This Row],[Total Order Value]]&gt;100,"Medium Value","Low Value"))</f>
        <v>Medium Value</v>
      </c>
      <c r="S95" t="s">
        <v>30</v>
      </c>
      <c r="T95" t="s">
        <v>22</v>
      </c>
    </row>
    <row r="96" spans="1:20" x14ac:dyDescent="0.3">
      <c r="A96" t="s">
        <v>359</v>
      </c>
      <c r="B96" s="1">
        <v>45493</v>
      </c>
      <c r="C96" s="1" t="str">
        <f>TEXT(SalesData[[#This Row],[Order_Date]],"MMMM")</f>
        <v>July</v>
      </c>
      <c r="D96" t="s">
        <v>360</v>
      </c>
      <c r="E96" t="s">
        <v>361</v>
      </c>
      <c r="F96" t="s">
        <v>40</v>
      </c>
      <c r="G96" t="s">
        <v>41</v>
      </c>
      <c r="H96" t="s">
        <v>19</v>
      </c>
      <c r="I96" t="s">
        <v>362</v>
      </c>
      <c r="J96">
        <v>1</v>
      </c>
      <c r="K96">
        <v>129.99</v>
      </c>
      <c r="L96">
        <f>SalesData[[#This Row],[Unit_Price]]*SalesData[[#This Row],[Quantity]]</f>
        <v>129.99</v>
      </c>
      <c r="M96">
        <v>20</v>
      </c>
      <c r="N96">
        <f>SalesData[[#This Row],[Subtotal]]*(SalesData[[#This Row],[Discount_Percent]]/100)</f>
        <v>25.998000000000005</v>
      </c>
      <c r="O96">
        <f>SalesData[[#This Row],[Subtotal]]-SalesData[[#This Row],[Discount_Amount]]</f>
        <v>103.992</v>
      </c>
      <c r="P96">
        <v>10.99</v>
      </c>
      <c r="Q96">
        <f>SUM(SalesData[[#This Row],[Net_Amount]]+SalesData[[#This Row],[Shipping_Cost]])</f>
        <v>114.982</v>
      </c>
      <c r="R96" t="str">
        <f>IF(SalesData[[#This Row],[Total Order Value]]&gt;200,"High Value",IF(SalesData[[#This Row],[Total Order Value]]&gt;100,"Medium Value","Low Value"))</f>
        <v>Medium Value</v>
      </c>
      <c r="S96" t="s">
        <v>30</v>
      </c>
      <c r="T96" t="s">
        <v>22</v>
      </c>
    </row>
    <row r="97" spans="1:20" x14ac:dyDescent="0.3">
      <c r="A97" t="s">
        <v>167</v>
      </c>
      <c r="B97" s="1">
        <v>45371</v>
      </c>
      <c r="C97" s="1" t="str">
        <f>TEXT(SalesData[[#This Row],[Order_Date]],"MMMM")</f>
        <v>March</v>
      </c>
      <c r="D97" t="s">
        <v>168</v>
      </c>
      <c r="E97" t="s">
        <v>169</v>
      </c>
      <c r="F97" t="s">
        <v>40</v>
      </c>
      <c r="G97" t="s">
        <v>65</v>
      </c>
      <c r="H97" t="s">
        <v>19</v>
      </c>
      <c r="I97" t="s">
        <v>170</v>
      </c>
      <c r="J97">
        <v>2</v>
      </c>
      <c r="K97">
        <v>79.989999999999995</v>
      </c>
      <c r="L97">
        <f>SalesData[[#This Row],[Unit_Price]]*SalesData[[#This Row],[Quantity]]</f>
        <v>159.97999999999999</v>
      </c>
      <c r="M97">
        <v>20</v>
      </c>
      <c r="N97">
        <f>SalesData[[#This Row],[Subtotal]]*(SalesData[[#This Row],[Discount_Percent]]/100)</f>
        <v>31.995999999999999</v>
      </c>
      <c r="O97">
        <f>SalesData[[#This Row],[Subtotal]]-SalesData[[#This Row],[Discount_Amount]]</f>
        <v>127.98399999999999</v>
      </c>
      <c r="P97">
        <v>8.5</v>
      </c>
      <c r="Q97">
        <f>SUM(SalesData[[#This Row],[Net_Amount]]+SalesData[[#This Row],[Shipping_Cost]])</f>
        <v>136.48399999999998</v>
      </c>
      <c r="R97" t="str">
        <f>IF(SalesData[[#This Row],[Total Order Value]]&gt;200,"High Value",IF(SalesData[[#This Row],[Total Order Value]]&gt;100,"Medium Value","Low Value"))</f>
        <v>Medium Value</v>
      </c>
      <c r="S97" t="s">
        <v>21</v>
      </c>
      <c r="T97" t="s">
        <v>22</v>
      </c>
    </row>
    <row r="98" spans="1:20" x14ac:dyDescent="0.3">
      <c r="A98" t="s">
        <v>101</v>
      </c>
      <c r="B98" s="1">
        <v>45332</v>
      </c>
      <c r="C98" s="1" t="str">
        <f>TEXT(SalesData[[#This Row],[Order_Date]],"MMMM")</f>
        <v>February</v>
      </c>
      <c r="D98" t="s">
        <v>102</v>
      </c>
      <c r="E98" t="s">
        <v>103</v>
      </c>
      <c r="F98" t="s">
        <v>40</v>
      </c>
      <c r="G98" t="s">
        <v>104</v>
      </c>
      <c r="H98" t="s">
        <v>28</v>
      </c>
      <c r="I98" t="s">
        <v>105</v>
      </c>
      <c r="J98">
        <v>4</v>
      </c>
      <c r="K98">
        <v>34.99</v>
      </c>
      <c r="L98">
        <f>SalesData[[#This Row],[Unit_Price]]*SalesData[[#This Row],[Quantity]]</f>
        <v>139.96</v>
      </c>
      <c r="M98">
        <v>5</v>
      </c>
      <c r="N98">
        <f>SalesData[[#This Row],[Subtotal]]*(SalesData[[#This Row],[Discount_Percent]]/100)</f>
        <v>6.9980000000000011</v>
      </c>
      <c r="O98">
        <f>SalesData[[#This Row],[Subtotal]]-SalesData[[#This Row],[Discount_Amount]]</f>
        <v>132.96200000000002</v>
      </c>
      <c r="P98">
        <v>7.5</v>
      </c>
      <c r="Q98">
        <f>SUM(SalesData[[#This Row],[Net_Amount]]+SalesData[[#This Row],[Shipping_Cost]])</f>
        <v>140.46200000000002</v>
      </c>
      <c r="R98" t="str">
        <f>IF(SalesData[[#This Row],[Total Order Value]]&gt;200,"High Value",IF(SalesData[[#This Row],[Total Order Value]]&gt;100,"Medium Value","Low Value"))</f>
        <v>Medium Value</v>
      </c>
      <c r="S98" t="s">
        <v>30</v>
      </c>
      <c r="T98" t="s">
        <v>72</v>
      </c>
    </row>
    <row r="99" spans="1:20" x14ac:dyDescent="0.3">
      <c r="A99" t="s">
        <v>263</v>
      </c>
      <c r="B99" s="1">
        <v>45432</v>
      </c>
      <c r="C99" s="1" t="str">
        <f>TEXT(SalesData[[#This Row],[Order_Date]],"MMMM")</f>
        <v>May</v>
      </c>
      <c r="D99" t="s">
        <v>264</v>
      </c>
      <c r="E99" t="s">
        <v>265</v>
      </c>
      <c r="F99" t="s">
        <v>40</v>
      </c>
      <c r="G99" t="s">
        <v>104</v>
      </c>
      <c r="H99" t="s">
        <v>19</v>
      </c>
      <c r="I99" t="s">
        <v>266</v>
      </c>
      <c r="J99">
        <v>1</v>
      </c>
      <c r="K99">
        <v>149.99</v>
      </c>
      <c r="L99">
        <f>SalesData[[#This Row],[Unit_Price]]*SalesData[[#This Row],[Quantity]]</f>
        <v>149.99</v>
      </c>
      <c r="M99">
        <v>15</v>
      </c>
      <c r="N99">
        <f>SalesData[[#This Row],[Subtotal]]*(SalesData[[#This Row],[Discount_Percent]]/100)</f>
        <v>22.4985</v>
      </c>
      <c r="O99">
        <f>SalesData[[#This Row],[Subtotal]]-SalesData[[#This Row],[Discount_Amount]]</f>
        <v>127.4915</v>
      </c>
      <c r="P99">
        <v>12.99</v>
      </c>
      <c r="Q99">
        <f>SUM(SalesData[[#This Row],[Net_Amount]]+SalesData[[#This Row],[Shipping_Cost]])</f>
        <v>140.48150000000001</v>
      </c>
      <c r="R99" t="str">
        <f>IF(SalesData[[#This Row],[Total Order Value]]&gt;200,"High Value",IF(SalesData[[#This Row],[Total Order Value]]&gt;100,"Medium Value","Low Value"))</f>
        <v>Medium Value</v>
      </c>
      <c r="S99" t="s">
        <v>30</v>
      </c>
      <c r="T99" t="s">
        <v>22</v>
      </c>
    </row>
    <row r="100" spans="1:20" x14ac:dyDescent="0.3">
      <c r="A100" t="s">
        <v>247</v>
      </c>
      <c r="B100" s="1">
        <v>45422</v>
      </c>
      <c r="C100" s="1" t="str">
        <f>TEXT(SalesData[[#This Row],[Order_Date]],"MMMM")</f>
        <v>May</v>
      </c>
      <c r="D100" t="s">
        <v>248</v>
      </c>
      <c r="E100" t="s">
        <v>249</v>
      </c>
      <c r="F100" t="s">
        <v>40</v>
      </c>
      <c r="G100" t="s">
        <v>65</v>
      </c>
      <c r="H100" t="s">
        <v>28</v>
      </c>
      <c r="I100" t="s">
        <v>250</v>
      </c>
      <c r="J100">
        <v>2</v>
      </c>
      <c r="K100">
        <v>79.989999999999995</v>
      </c>
      <c r="L100">
        <f>SalesData[[#This Row],[Unit_Price]]*SalesData[[#This Row],[Quantity]]</f>
        <v>159.97999999999999</v>
      </c>
      <c r="M100">
        <v>15</v>
      </c>
      <c r="N100">
        <f>SalesData[[#This Row],[Subtotal]]*(SalesData[[#This Row],[Discount_Percent]]/100)</f>
        <v>23.996999999999996</v>
      </c>
      <c r="O100">
        <f>SalesData[[#This Row],[Subtotal]]-SalesData[[#This Row],[Discount_Amount]]</f>
        <v>135.983</v>
      </c>
      <c r="P100">
        <v>9.99</v>
      </c>
      <c r="Q100">
        <f>SUM(SalesData[[#This Row],[Net_Amount]]+SalesData[[#This Row],[Shipping_Cost]])</f>
        <v>145.97300000000001</v>
      </c>
      <c r="R100" t="str">
        <f>IF(SalesData[[#This Row],[Total Order Value]]&gt;200,"High Value",IF(SalesData[[#This Row],[Total Order Value]]&gt;100,"Medium Value","Low Value"))</f>
        <v>Medium Value</v>
      </c>
      <c r="S100" t="s">
        <v>30</v>
      </c>
      <c r="T100" t="s">
        <v>22</v>
      </c>
    </row>
    <row r="101" spans="1:20" x14ac:dyDescent="0.3">
      <c r="A101" t="s">
        <v>407</v>
      </c>
      <c r="B101" s="1">
        <v>45524</v>
      </c>
      <c r="C101" s="1" t="str">
        <f>TEXT(SalesData[[#This Row],[Order_Date]],"MMMM")</f>
        <v>August</v>
      </c>
      <c r="D101" t="s">
        <v>408</v>
      </c>
      <c r="E101" t="s">
        <v>409</v>
      </c>
      <c r="F101" t="s">
        <v>40</v>
      </c>
      <c r="G101" t="s">
        <v>65</v>
      </c>
      <c r="H101" t="s">
        <v>19</v>
      </c>
      <c r="I101" t="s">
        <v>410</v>
      </c>
      <c r="J101">
        <v>1</v>
      </c>
      <c r="K101">
        <v>179.99</v>
      </c>
      <c r="L101">
        <f>SalesData[[#This Row],[Unit_Price]]*SalesData[[#This Row],[Quantity]]</f>
        <v>179.99</v>
      </c>
      <c r="M101">
        <v>15</v>
      </c>
      <c r="N101">
        <f>SalesData[[#This Row],[Subtotal]]*(SalesData[[#This Row],[Discount_Percent]]/100)</f>
        <v>26.9985</v>
      </c>
      <c r="O101">
        <f>SalesData[[#This Row],[Subtotal]]-SalesData[[#This Row],[Discount_Amount]]</f>
        <v>152.9915</v>
      </c>
      <c r="P101">
        <v>12.99</v>
      </c>
      <c r="Q101">
        <f>SUM(SalesData[[#This Row],[Net_Amount]]+SalesData[[#This Row],[Shipping_Cost]])</f>
        <v>165.98150000000001</v>
      </c>
      <c r="R101" t="str">
        <f>IF(SalesData[[#This Row],[Total Order Value]]&gt;200,"High Value",IF(SalesData[[#This Row],[Total Order Value]]&gt;100,"Medium Value","Low Value"))</f>
        <v>Medium Value</v>
      </c>
      <c r="S101" t="s">
        <v>21</v>
      </c>
      <c r="T101" t="s">
        <v>22</v>
      </c>
    </row>
  </sheetData>
  <conditionalFormatting sqref="M2:M101">
    <cfRule type="colorScale" priority="8">
      <colorScale>
        <cfvo type="min"/>
        <cfvo type="max"/>
        <color theme="9"/>
        <color rgb="FFFF0000"/>
      </colorScale>
    </cfRule>
    <cfRule type="colorScale" priority="9">
      <colorScale>
        <cfvo type="min"/>
        <cfvo type="max"/>
        <color rgb="FFFF7128"/>
        <color rgb="FFFFEF9C"/>
      </colorScale>
    </cfRule>
  </conditionalFormatting>
  <conditionalFormatting sqref="Q2:Q101">
    <cfRule type="dataBar" priority="10">
      <dataBar>
        <cfvo type="min"/>
        <cfvo type="max"/>
        <color rgb="FFFF555A"/>
      </dataBar>
      <extLst>
        <ext xmlns:x14="http://schemas.microsoft.com/office/spreadsheetml/2009/9/main" uri="{B025F937-C7B1-47D3-B67F-A62EFF666E3E}">
          <x14:id>{DDB2280B-4116-47CE-823B-31A61FDF3CE3}</x14:id>
        </ext>
      </extLst>
    </cfRule>
  </conditionalFormatting>
  <conditionalFormatting sqref="R1:R1048576">
    <cfRule type="containsText" dxfId="1" priority="1" operator="containsText" text="High Value">
      <formula>NOT(ISERROR(SEARCH("High Value",R1)))</formula>
    </cfRule>
    <cfRule type="iconSet" priority="3">
      <iconSet>
        <cfvo type="percent" val="0"/>
        <cfvo type="percent" val="$R$22"/>
        <cfvo type="num" val="$R$7"/>
      </iconSet>
    </cfRule>
  </conditionalFormatting>
  <conditionalFormatting sqref="R2:R101">
    <cfRule type="iconSet" priority="4">
      <iconSet showValue="0">
        <cfvo type="percent" val="0"/>
        <cfvo type="percent" val="33"/>
        <cfvo type="percent" val="67"/>
      </iconSet>
    </cfRule>
    <cfRule type="iconSet" priority="5">
      <iconSet iconSet="3Symbols2">
        <cfvo type="percent" val="0"/>
        <cfvo type="percent" val="33"/>
        <cfvo type="percent" val="67"/>
      </iconSet>
    </cfRule>
    <cfRule type="iconSet" priority="6">
      <iconSet iconSet="4Rating">
        <cfvo type="percent" val="0"/>
        <cfvo type="percent" val="25"/>
        <cfvo type="percent" val="50"/>
        <cfvo type="percent" val="75"/>
      </iconSet>
    </cfRule>
  </conditionalFormatting>
  <conditionalFormatting sqref="T1:T1048576">
    <cfRule type="containsText" dxfId="0" priority="2" operator="containsText" text="Cancelled">
      <formula>NOT(ISERROR(SEARCH("Cancelled",T1)))</formula>
    </cfRule>
  </conditionalFormatting>
  <dataValidations count="3">
    <dataValidation type="list" allowBlank="1" showInputMessage="1" showErrorMessage="1" sqref="F2:F101" xr:uid="{5AAC9A0C-3D6B-49F8-945E-F375D47D9F59}">
      <formula1>$Y$12:$Y$15</formula1>
    </dataValidation>
    <dataValidation type="list" allowBlank="1" showInputMessage="1" showErrorMessage="1" sqref="T2:T101" xr:uid="{B4869F53-0097-4B20-8B85-F780FED84174}">
      <formula1>$Z$12:$Z$14</formula1>
    </dataValidation>
    <dataValidation type="whole" allowBlank="1" showInputMessage="1" showErrorMessage="1" sqref="J2:J101" xr:uid="{9A61C193-2211-4466-8B55-886B15E84297}">
      <formula1>1</formula1>
      <formula2>10</formula2>
    </dataValidation>
  </dataValidations>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DDB2280B-4116-47CE-823B-31A61FDF3CE3}">
            <x14:dataBar minLength="0" maxLength="100" border="1" negativeBarBorderColorSameAsPositive="0">
              <x14:cfvo type="autoMin"/>
              <x14:cfvo type="autoMax"/>
              <x14:borderColor rgb="FFFF555A"/>
              <x14:negativeFillColor rgb="FFFF0000"/>
              <x14:negativeBorderColor rgb="FFFF0000"/>
              <x14:axisColor rgb="FF000000"/>
            </x14:dataBar>
          </x14:cfRule>
          <xm:sqref>Q2:Q101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975D-D9AA-44DE-B5D2-070917CC3132}">
  <dimension ref="A1:Z116"/>
  <sheetViews>
    <sheetView zoomScale="90" workbookViewId="0">
      <selection activeCell="T10" sqref="T10"/>
    </sheetView>
  </sheetViews>
  <sheetFormatPr defaultRowHeight="14.4" outlineLevelRow="4" x14ac:dyDescent="0.3"/>
  <cols>
    <col min="1" max="1" width="10.77734375" bestFit="1" customWidth="1"/>
    <col min="2" max="2" width="12.88671875" bestFit="1" customWidth="1"/>
    <col min="3" max="3" width="12.88671875" customWidth="1"/>
    <col min="4" max="4" width="17.44140625" bestFit="1" customWidth="1"/>
    <col min="5" max="5" width="21.6640625" bestFit="1" customWidth="1"/>
    <col min="6" max="6" width="9" bestFit="1" customWidth="1"/>
    <col min="7" max="7" width="12" bestFit="1" customWidth="1"/>
    <col min="8" max="8" width="18.5546875" bestFit="1" customWidth="1"/>
    <col min="9" max="9" width="17" bestFit="1" customWidth="1"/>
    <col min="10" max="10" width="10.5546875" bestFit="1" customWidth="1"/>
    <col min="11" max="11" width="11.88671875" bestFit="1" customWidth="1"/>
    <col min="12" max="12" width="11.88671875" customWidth="1"/>
    <col min="13" max="13" width="18.109375" bestFit="1" customWidth="1"/>
    <col min="14" max="15" width="18.109375" customWidth="1"/>
    <col min="16" max="16" width="15.33203125" bestFit="1" customWidth="1"/>
    <col min="17" max="17" width="18.77734375" bestFit="1" customWidth="1"/>
    <col min="18" max="18" width="18.77734375" customWidth="1"/>
    <col min="19" max="19" width="18.6640625" bestFit="1" customWidth="1"/>
    <col min="20" max="20" width="14.21875" bestFit="1" customWidth="1"/>
    <col min="25" max="25" width="0" hidden="1" customWidth="1"/>
    <col min="26" max="26" width="14.21875" hidden="1" customWidth="1"/>
  </cols>
  <sheetData>
    <row r="1" spans="1:26" ht="15" thickBot="1" x14ac:dyDescent="0.35">
      <c r="A1" s="3" t="s">
        <v>0</v>
      </c>
      <c r="B1" s="4" t="s">
        <v>1</v>
      </c>
      <c r="C1" s="4" t="s">
        <v>448</v>
      </c>
      <c r="D1" s="4" t="s">
        <v>2</v>
      </c>
      <c r="E1" s="4" t="s">
        <v>3</v>
      </c>
      <c r="F1" s="4" t="s">
        <v>4</v>
      </c>
      <c r="G1" s="4" t="s">
        <v>5</v>
      </c>
      <c r="H1" s="4" t="s">
        <v>6</v>
      </c>
      <c r="I1" s="4" t="s">
        <v>7</v>
      </c>
      <c r="J1" s="4" t="s">
        <v>8</v>
      </c>
      <c r="K1" s="4" t="s">
        <v>9</v>
      </c>
      <c r="L1" s="4" t="s">
        <v>444</v>
      </c>
      <c r="M1" s="4" t="s">
        <v>10</v>
      </c>
      <c r="N1" s="4" t="s">
        <v>445</v>
      </c>
      <c r="O1" s="4" t="s">
        <v>446</v>
      </c>
      <c r="P1" s="4" t="s">
        <v>11</v>
      </c>
      <c r="Q1" s="4" t="s">
        <v>447</v>
      </c>
      <c r="R1" s="4" t="s">
        <v>449</v>
      </c>
      <c r="S1" s="4" t="s">
        <v>12</v>
      </c>
      <c r="T1" s="4" t="s">
        <v>13</v>
      </c>
    </row>
    <row r="2" spans="1:26" ht="15" outlineLevel="4" thickTop="1" x14ac:dyDescent="0.3">
      <c r="A2" s="5" t="s">
        <v>187</v>
      </c>
      <c r="B2" s="6">
        <v>45385</v>
      </c>
      <c r="C2" s="6" t="str">
        <f>TEXT(sorted_analysis!$B2,"MMMM")</f>
        <v>April</v>
      </c>
      <c r="D2" s="7" t="s">
        <v>188</v>
      </c>
      <c r="E2" s="7" t="s">
        <v>189</v>
      </c>
      <c r="F2" s="7" t="s">
        <v>17</v>
      </c>
      <c r="G2" s="7" t="s">
        <v>90</v>
      </c>
      <c r="H2" s="7" t="s">
        <v>59</v>
      </c>
      <c r="I2" s="7" t="s">
        <v>190</v>
      </c>
      <c r="J2" s="7">
        <v>1</v>
      </c>
      <c r="K2" s="7">
        <v>34.99</v>
      </c>
      <c r="L2" s="7">
        <f>sorted_analysis!$K2*sorted_analysis!$J2</f>
        <v>34.99</v>
      </c>
      <c r="M2" s="7">
        <v>5</v>
      </c>
      <c r="N2" s="7">
        <f>sorted_analysis!$L2*(sorted_analysis!$M2/100)</f>
        <v>1.7495000000000003</v>
      </c>
      <c r="O2" s="7">
        <f>sorted_analysis!$L2-sorted_analysis!$N2</f>
        <v>33.240500000000004</v>
      </c>
      <c r="P2" s="7">
        <v>3.99</v>
      </c>
      <c r="Q2" s="7">
        <f>SUM(sorted_analysis!$O2+sorted_analysis!$P2)</f>
        <v>37.230500000000006</v>
      </c>
      <c r="R2" s="7" t="str">
        <f>IF(sorted_analysis!$Q2&gt;200,"High Value",IF(sorted_analysis!$Q2&gt;100,"Medium Value","Low Value"))</f>
        <v>Low Value</v>
      </c>
      <c r="S2" s="7" t="s">
        <v>44</v>
      </c>
      <c r="T2" s="7" t="s">
        <v>22</v>
      </c>
    </row>
    <row r="3" spans="1:26" outlineLevel="4" x14ac:dyDescent="0.3">
      <c r="A3" s="8" t="s">
        <v>235</v>
      </c>
      <c r="B3" s="9">
        <v>45415</v>
      </c>
      <c r="C3" s="9" t="str">
        <f>TEXT(sorted_analysis!$B3,"MMMM")</f>
        <v>May</v>
      </c>
      <c r="D3" s="2" t="s">
        <v>236</v>
      </c>
      <c r="E3" s="2" t="s">
        <v>237</v>
      </c>
      <c r="F3" s="2" t="s">
        <v>17</v>
      </c>
      <c r="G3" s="2" t="s">
        <v>90</v>
      </c>
      <c r="H3" s="2" t="s">
        <v>42</v>
      </c>
      <c r="I3" s="2" t="s">
        <v>238</v>
      </c>
      <c r="J3" s="2">
        <v>1</v>
      </c>
      <c r="K3" s="2">
        <v>44.99</v>
      </c>
      <c r="L3" s="2">
        <f>sorted_analysis!$K3*sorted_analysis!$J3</f>
        <v>44.99</v>
      </c>
      <c r="M3" s="2">
        <v>25</v>
      </c>
      <c r="N3" s="2">
        <f>sorted_analysis!$L3*(sorted_analysis!$M3/100)</f>
        <v>11.2475</v>
      </c>
      <c r="O3" s="2">
        <f>sorted_analysis!$L3-sorted_analysis!$N3</f>
        <v>33.7425</v>
      </c>
      <c r="P3" s="2">
        <v>6.5</v>
      </c>
      <c r="Q3" s="2">
        <f>SUM(sorted_analysis!$O3+sorted_analysis!$P3)</f>
        <v>40.2425</v>
      </c>
      <c r="R3" s="2" t="str">
        <f>IF(sorted_analysis!$Q3&gt;200,"High Value",IF(sorted_analysis!$Q3&gt;100,"Medium Value","Low Value"))</f>
        <v>Low Value</v>
      </c>
      <c r="S3" s="2" t="s">
        <v>30</v>
      </c>
      <c r="T3" s="2" t="s">
        <v>22</v>
      </c>
    </row>
    <row r="4" spans="1:26" outlineLevel="4" x14ac:dyDescent="0.3">
      <c r="A4" s="10" t="s">
        <v>123</v>
      </c>
      <c r="B4" s="11">
        <v>45344</v>
      </c>
      <c r="C4" s="11" t="str">
        <f>TEXT(sorted_analysis!$B4,"MMMM")</f>
        <v>February</v>
      </c>
      <c r="D4" s="12" t="s">
        <v>124</v>
      </c>
      <c r="E4" s="12" t="s">
        <v>125</v>
      </c>
      <c r="F4" s="12" t="s">
        <v>17</v>
      </c>
      <c r="G4" s="12" t="s">
        <v>70</v>
      </c>
      <c r="H4" s="12" t="s">
        <v>28</v>
      </c>
      <c r="I4" s="12" t="s">
        <v>126</v>
      </c>
      <c r="J4" s="12">
        <v>1</v>
      </c>
      <c r="K4" s="12">
        <v>39.99</v>
      </c>
      <c r="L4" s="12">
        <f>sorted_analysis!$K4*sorted_analysis!$J4</f>
        <v>39.99</v>
      </c>
      <c r="M4" s="12">
        <v>10</v>
      </c>
      <c r="N4" s="12">
        <f>sorted_analysis!$L4*(sorted_analysis!$M4/100)</f>
        <v>3.9990000000000006</v>
      </c>
      <c r="O4" s="12">
        <f>sorted_analysis!$L4-sorted_analysis!$N4</f>
        <v>35.991</v>
      </c>
      <c r="P4" s="12">
        <v>5.99</v>
      </c>
      <c r="Q4" s="12">
        <f>SUM(sorted_analysis!$O4+sorted_analysis!$P4)</f>
        <v>41.981000000000002</v>
      </c>
      <c r="R4" s="12" t="str">
        <f>IF(sorted_analysis!$Q4&gt;200,"High Value",IF(sorted_analysis!$Q4&gt;100,"Medium Value","Low Value"))</f>
        <v>Low Value</v>
      </c>
      <c r="S4" s="12" t="s">
        <v>21</v>
      </c>
      <c r="T4" s="12" t="s">
        <v>22</v>
      </c>
    </row>
    <row r="5" spans="1:26" outlineLevel="4" x14ac:dyDescent="0.3">
      <c r="A5" s="8" t="s">
        <v>315</v>
      </c>
      <c r="B5" s="9">
        <v>45465</v>
      </c>
      <c r="C5" s="9" t="str">
        <f>TEXT(sorted_analysis!$B5,"MMMM")</f>
        <v>June</v>
      </c>
      <c r="D5" s="2" t="s">
        <v>316</v>
      </c>
      <c r="E5" s="2" t="s">
        <v>317</v>
      </c>
      <c r="F5" s="2" t="s">
        <v>17</v>
      </c>
      <c r="G5" s="2" t="s">
        <v>70</v>
      </c>
      <c r="H5" s="2" t="s">
        <v>59</v>
      </c>
      <c r="I5" s="2" t="s">
        <v>318</v>
      </c>
      <c r="J5" s="2">
        <v>1</v>
      </c>
      <c r="K5" s="2">
        <v>44.99</v>
      </c>
      <c r="L5" s="2">
        <f>sorted_analysis!$K5*sorted_analysis!$J5</f>
        <v>44.99</v>
      </c>
      <c r="M5" s="2">
        <v>0</v>
      </c>
      <c r="N5" s="2">
        <f>sorted_analysis!$L5*(sorted_analysis!$M5/100)</f>
        <v>0</v>
      </c>
      <c r="O5" s="2">
        <f>sorted_analysis!$L5-sorted_analysis!$N5</f>
        <v>44.99</v>
      </c>
      <c r="P5" s="2">
        <v>4.5</v>
      </c>
      <c r="Q5" s="2">
        <f>SUM(sorted_analysis!$O5+sorted_analysis!$P5)</f>
        <v>49.49</v>
      </c>
      <c r="R5" s="2" t="str">
        <f>IF(sorted_analysis!$Q5&gt;200,"High Value",IF(sorted_analysis!$Q5&gt;100,"Medium Value","Low Value"))</f>
        <v>Low Value</v>
      </c>
      <c r="S5" s="2" t="s">
        <v>21</v>
      </c>
      <c r="T5" s="2" t="s">
        <v>22</v>
      </c>
    </row>
    <row r="6" spans="1:26" outlineLevel="4" x14ac:dyDescent="0.3">
      <c r="A6" s="10" t="s">
        <v>331</v>
      </c>
      <c r="B6" s="11">
        <v>45476</v>
      </c>
      <c r="C6" s="11" t="str">
        <f>TEXT(sorted_analysis!$B6,"MMMM")</f>
        <v>July</v>
      </c>
      <c r="D6" s="12" t="s">
        <v>332</v>
      </c>
      <c r="E6" s="12" t="s">
        <v>333</v>
      </c>
      <c r="F6" s="12" t="s">
        <v>17</v>
      </c>
      <c r="G6" s="12" t="s">
        <v>90</v>
      </c>
      <c r="H6" s="12" t="s">
        <v>59</v>
      </c>
      <c r="I6" s="12" t="s">
        <v>334</v>
      </c>
      <c r="J6" s="12">
        <v>2</v>
      </c>
      <c r="K6" s="12">
        <v>24.99</v>
      </c>
      <c r="L6" s="12">
        <f>sorted_analysis!$K6*sorted_analysis!$J6</f>
        <v>49.98</v>
      </c>
      <c r="M6" s="12">
        <v>0</v>
      </c>
      <c r="N6" s="12">
        <f>sorted_analysis!$L6*(sorted_analysis!$M6/100)</f>
        <v>0</v>
      </c>
      <c r="O6" s="12">
        <f>sorted_analysis!$L6-sorted_analysis!$N6</f>
        <v>49.98</v>
      </c>
      <c r="P6" s="12">
        <v>3.99</v>
      </c>
      <c r="Q6" s="12">
        <f>SUM(sorted_analysis!$O6+sorted_analysis!$P6)</f>
        <v>53.97</v>
      </c>
      <c r="R6" s="12" t="str">
        <f>IF(sorted_analysis!$Q6&gt;200,"High Value",IF(sorted_analysis!$Q6&gt;100,"Medium Value","Low Value"))</f>
        <v>Low Value</v>
      </c>
      <c r="S6" s="12" t="s">
        <v>30</v>
      </c>
      <c r="T6" s="12" t="s">
        <v>22</v>
      </c>
    </row>
    <row r="7" spans="1:26" outlineLevel="4" x14ac:dyDescent="0.3">
      <c r="A7" s="8" t="s">
        <v>171</v>
      </c>
      <c r="B7" s="9">
        <v>45373</v>
      </c>
      <c r="C7" s="9" t="str">
        <f>TEXT(sorted_analysis!$B7,"MMMM")</f>
        <v>March</v>
      </c>
      <c r="D7" s="2" t="s">
        <v>172</v>
      </c>
      <c r="E7" s="2" t="s">
        <v>173</v>
      </c>
      <c r="F7" s="2" t="s">
        <v>17</v>
      </c>
      <c r="G7" s="2" t="s">
        <v>70</v>
      </c>
      <c r="H7" s="2" t="s">
        <v>59</v>
      </c>
      <c r="I7" s="2" t="s">
        <v>174</v>
      </c>
      <c r="J7" s="2">
        <v>1</v>
      </c>
      <c r="K7" s="2">
        <v>49.99</v>
      </c>
      <c r="L7" s="2">
        <f>sorted_analysis!$K7*sorted_analysis!$J7</f>
        <v>49.99</v>
      </c>
      <c r="M7" s="2">
        <v>0</v>
      </c>
      <c r="N7" s="2">
        <f>sorted_analysis!$L7*(sorted_analysis!$M7/100)</f>
        <v>0</v>
      </c>
      <c r="O7" s="2">
        <f>sorted_analysis!$L7-sorted_analysis!$N7</f>
        <v>49.99</v>
      </c>
      <c r="P7" s="2">
        <v>4.99</v>
      </c>
      <c r="Q7" s="2">
        <f>SUM(sorted_analysis!$O7+sorted_analysis!$P7)</f>
        <v>54.980000000000004</v>
      </c>
      <c r="R7" s="2" t="str">
        <f>IF(sorted_analysis!$Q7&gt;200,"High Value",IF(sorted_analysis!$Q7&gt;100,"Medium Value","Low Value"))</f>
        <v>Low Value</v>
      </c>
      <c r="S7" s="2" t="s">
        <v>44</v>
      </c>
      <c r="T7" s="2" t="s">
        <v>22</v>
      </c>
    </row>
    <row r="8" spans="1:26" outlineLevel="4" x14ac:dyDescent="0.3">
      <c r="A8" s="10" t="s">
        <v>363</v>
      </c>
      <c r="B8" s="11">
        <v>45495</v>
      </c>
      <c r="C8" s="11" t="str">
        <f>TEXT(sorted_analysis!$B8,"MMMM")</f>
        <v>July</v>
      </c>
      <c r="D8" s="12" t="s">
        <v>364</v>
      </c>
      <c r="E8" s="12" t="s">
        <v>365</v>
      </c>
      <c r="F8" s="12" t="s">
        <v>17</v>
      </c>
      <c r="G8" s="12" t="s">
        <v>70</v>
      </c>
      <c r="H8" s="12" t="s">
        <v>42</v>
      </c>
      <c r="I8" s="12" t="s">
        <v>366</v>
      </c>
      <c r="J8" s="12">
        <v>4</v>
      </c>
      <c r="K8" s="12">
        <v>14.99</v>
      </c>
      <c r="L8" s="12">
        <f>sorted_analysis!$K8*sorted_analysis!$J8</f>
        <v>59.96</v>
      </c>
      <c r="M8" s="12">
        <v>10</v>
      </c>
      <c r="N8" s="12">
        <f>sorted_analysis!$L8*(sorted_analysis!$M8/100)</f>
        <v>5.9960000000000004</v>
      </c>
      <c r="O8" s="12">
        <f>sorted_analysis!$L8-sorted_analysis!$N8</f>
        <v>53.963999999999999</v>
      </c>
      <c r="P8" s="12">
        <v>4.5</v>
      </c>
      <c r="Q8" s="12">
        <f>SUM(sorted_analysis!$O8+sorted_analysis!$P8)</f>
        <v>58.463999999999999</v>
      </c>
      <c r="R8" s="12" t="str">
        <f>IF(sorted_analysis!$Q8&gt;200,"High Value",IF(sorted_analysis!$Q8&gt;100,"Medium Value","Low Value"))</f>
        <v>Low Value</v>
      </c>
      <c r="S8" s="12" t="s">
        <v>21</v>
      </c>
      <c r="T8" s="12" t="s">
        <v>22</v>
      </c>
    </row>
    <row r="9" spans="1:26" outlineLevel="4" x14ac:dyDescent="0.3">
      <c r="A9" s="8" t="s">
        <v>14</v>
      </c>
      <c r="B9" s="9">
        <v>45296</v>
      </c>
      <c r="C9" s="9" t="str">
        <f>TEXT(sorted_analysis!$B9,"MMMM")</f>
        <v>January</v>
      </c>
      <c r="D9" s="2" t="s">
        <v>15</v>
      </c>
      <c r="E9" s="2" t="s">
        <v>16</v>
      </c>
      <c r="F9" s="2" t="s">
        <v>17</v>
      </c>
      <c r="G9" s="2" t="s">
        <v>18</v>
      </c>
      <c r="H9" s="2" t="s">
        <v>19</v>
      </c>
      <c r="I9" s="2" t="s">
        <v>20</v>
      </c>
      <c r="J9" s="2">
        <v>2</v>
      </c>
      <c r="K9" s="2">
        <v>29.99</v>
      </c>
      <c r="L9" s="2">
        <f>sorted_analysis!$K9*sorted_analysis!$J9</f>
        <v>59.98</v>
      </c>
      <c r="M9" s="2">
        <v>10</v>
      </c>
      <c r="N9" s="2">
        <f>sorted_analysis!$L9*(sorted_analysis!$M9/100)</f>
        <v>5.9980000000000002</v>
      </c>
      <c r="O9" s="2">
        <f>sorted_analysis!$L9-sorted_analysis!$N9</f>
        <v>53.981999999999999</v>
      </c>
      <c r="P9" s="2">
        <v>5.99</v>
      </c>
      <c r="Q9" s="2">
        <f>SUM(sorted_analysis!$O9+sorted_analysis!$P9)</f>
        <v>59.972000000000001</v>
      </c>
      <c r="R9" s="2" t="str">
        <f>IF(sorted_analysis!$Q9&gt;200,"High Value",IF(sorted_analysis!$Q9&gt;100,"Medium Value","Low Value"))</f>
        <v>Low Value</v>
      </c>
      <c r="S9" s="2" t="s">
        <v>21</v>
      </c>
      <c r="T9" s="2" t="s">
        <v>22</v>
      </c>
    </row>
    <row r="10" spans="1:26" outlineLevel="4" x14ac:dyDescent="0.3">
      <c r="A10" s="10" t="s">
        <v>283</v>
      </c>
      <c r="B10" s="11">
        <v>45446</v>
      </c>
      <c r="C10" s="11" t="str">
        <f>TEXT(sorted_analysis!$B10,"MMMM")</f>
        <v>June</v>
      </c>
      <c r="D10" s="12" t="s">
        <v>284</v>
      </c>
      <c r="E10" s="12" t="s">
        <v>285</v>
      </c>
      <c r="F10" s="12" t="s">
        <v>17</v>
      </c>
      <c r="G10" s="12" t="s">
        <v>90</v>
      </c>
      <c r="H10" s="12" t="s">
        <v>28</v>
      </c>
      <c r="I10" s="12" t="s">
        <v>286</v>
      </c>
      <c r="J10" s="12">
        <v>1</v>
      </c>
      <c r="K10" s="12">
        <v>69.989999999999995</v>
      </c>
      <c r="L10" s="12">
        <f>sorted_analysis!$K10*sorted_analysis!$J10</f>
        <v>69.989999999999995</v>
      </c>
      <c r="M10" s="12">
        <v>15</v>
      </c>
      <c r="N10" s="12">
        <f>sorted_analysis!$L10*(sorted_analysis!$M10/100)</f>
        <v>10.498499999999998</v>
      </c>
      <c r="O10" s="12">
        <f>sorted_analysis!$L10-sorted_analysis!$N10</f>
        <v>59.491499999999995</v>
      </c>
      <c r="P10" s="12">
        <v>8.99</v>
      </c>
      <c r="Q10" s="12">
        <f>SUM(sorted_analysis!$O10+sorted_analysis!$P10)</f>
        <v>68.481499999999997</v>
      </c>
      <c r="R10" s="12" t="str">
        <f>IF(sorted_analysis!$Q10&gt;200,"High Value",IF(sorted_analysis!$Q10&gt;100,"Medium Value","Low Value"))</f>
        <v>Low Value</v>
      </c>
      <c r="S10" s="12" t="s">
        <v>44</v>
      </c>
      <c r="T10" s="12" t="s">
        <v>22</v>
      </c>
    </row>
    <row r="11" spans="1:26" outlineLevel="4" x14ac:dyDescent="0.3">
      <c r="A11" s="8" t="s">
        <v>251</v>
      </c>
      <c r="B11" s="9">
        <v>45424</v>
      </c>
      <c r="C11" s="9" t="str">
        <f>TEXT(sorted_analysis!$B11,"MMMM")</f>
        <v>May</v>
      </c>
      <c r="D11" s="2" t="s">
        <v>252</v>
      </c>
      <c r="E11" s="2" t="s">
        <v>253</v>
      </c>
      <c r="F11" s="2" t="s">
        <v>17</v>
      </c>
      <c r="G11" s="2" t="s">
        <v>48</v>
      </c>
      <c r="H11" s="2" t="s">
        <v>19</v>
      </c>
      <c r="I11" s="2" t="s">
        <v>254</v>
      </c>
      <c r="J11" s="2">
        <v>5</v>
      </c>
      <c r="K11" s="2">
        <v>14.99</v>
      </c>
      <c r="L11" s="2">
        <f>sorted_analysis!$K11*sorted_analysis!$J11</f>
        <v>74.95</v>
      </c>
      <c r="M11" s="2">
        <v>10</v>
      </c>
      <c r="N11" s="2">
        <f>sorted_analysis!$L11*(sorted_analysis!$M11/100)</f>
        <v>7.495000000000001</v>
      </c>
      <c r="O11" s="2">
        <f>sorted_analysis!$L11-sorted_analysis!$N11</f>
        <v>67.454999999999998</v>
      </c>
      <c r="P11" s="2">
        <v>2.99</v>
      </c>
      <c r="Q11" s="2">
        <f>SUM(sorted_analysis!$O11+sorted_analysis!$P11)</f>
        <v>70.444999999999993</v>
      </c>
      <c r="R11" s="2" t="str">
        <f>IF(sorted_analysis!$Q11&gt;200,"High Value",IF(sorted_analysis!$Q11&gt;100,"Medium Value","Low Value"))</f>
        <v>Low Value</v>
      </c>
      <c r="S11" s="2" t="s">
        <v>21</v>
      </c>
      <c r="T11" s="2" t="s">
        <v>72</v>
      </c>
      <c r="Y11" t="s">
        <v>443</v>
      </c>
      <c r="Z11" t="s">
        <v>13</v>
      </c>
    </row>
    <row r="12" spans="1:26" outlineLevel="4" x14ac:dyDescent="0.3">
      <c r="A12" s="10" t="s">
        <v>411</v>
      </c>
      <c r="B12" s="11">
        <v>45526</v>
      </c>
      <c r="C12" s="11" t="str">
        <f>TEXT(sorted_analysis!$B12,"MMMM")</f>
        <v>August</v>
      </c>
      <c r="D12" s="12" t="s">
        <v>412</v>
      </c>
      <c r="E12" s="12" t="s">
        <v>413</v>
      </c>
      <c r="F12" s="12" t="s">
        <v>17</v>
      </c>
      <c r="G12" s="12" t="s">
        <v>70</v>
      </c>
      <c r="H12" s="12" t="s">
        <v>28</v>
      </c>
      <c r="I12" s="12" t="s">
        <v>414</v>
      </c>
      <c r="J12" s="12">
        <v>4</v>
      </c>
      <c r="K12" s="12">
        <v>17.989999999999998</v>
      </c>
      <c r="L12" s="12">
        <f>sorted_analysis!$K12*sorted_analysis!$J12</f>
        <v>71.959999999999994</v>
      </c>
      <c r="M12" s="12">
        <v>5</v>
      </c>
      <c r="N12" s="12">
        <f>sorted_analysis!$L12*(sorted_analysis!$M12/100)</f>
        <v>3.5979999999999999</v>
      </c>
      <c r="O12" s="12">
        <f>sorted_analysis!$L12-sorted_analysis!$N12</f>
        <v>68.361999999999995</v>
      </c>
      <c r="P12" s="12">
        <v>4.5</v>
      </c>
      <c r="Q12" s="12">
        <f>SUM(sorted_analysis!$O12+sorted_analysis!$P12)</f>
        <v>72.861999999999995</v>
      </c>
      <c r="R12" s="12" t="str">
        <f>IF(sorted_analysis!$Q12&gt;200,"High Value",IF(sorted_analysis!$Q12&gt;100,"Medium Value","Low Value"))</f>
        <v>Low Value</v>
      </c>
      <c r="S12" s="12" t="s">
        <v>44</v>
      </c>
      <c r="T12" s="12" t="s">
        <v>61</v>
      </c>
      <c r="Y12" t="s">
        <v>17</v>
      </c>
      <c r="Z12" t="s">
        <v>22</v>
      </c>
    </row>
    <row r="13" spans="1:26" outlineLevel="4" x14ac:dyDescent="0.3">
      <c r="A13" s="8" t="s">
        <v>299</v>
      </c>
      <c r="B13" s="9">
        <v>45455</v>
      </c>
      <c r="C13" s="9" t="str">
        <f>TEXT(sorted_analysis!$B13,"MMMM")</f>
        <v>June</v>
      </c>
      <c r="D13" s="2" t="s">
        <v>300</v>
      </c>
      <c r="E13" s="2" t="s">
        <v>301</v>
      </c>
      <c r="F13" s="2" t="s">
        <v>17</v>
      </c>
      <c r="G13" s="2" t="s">
        <v>48</v>
      </c>
      <c r="H13" s="2" t="s">
        <v>19</v>
      </c>
      <c r="I13" s="2" t="s">
        <v>302</v>
      </c>
      <c r="J13" s="2">
        <v>6</v>
      </c>
      <c r="K13" s="2">
        <v>12.99</v>
      </c>
      <c r="L13" s="2">
        <f>sorted_analysis!$K13*sorted_analysis!$J13</f>
        <v>77.94</v>
      </c>
      <c r="M13" s="2">
        <v>5</v>
      </c>
      <c r="N13" s="2">
        <f>sorted_analysis!$L13*(sorted_analysis!$M13/100)</f>
        <v>3.8970000000000002</v>
      </c>
      <c r="O13" s="2">
        <f>sorted_analysis!$L13-sorted_analysis!$N13</f>
        <v>74.042999999999992</v>
      </c>
      <c r="P13" s="2">
        <v>2.99</v>
      </c>
      <c r="Q13" s="2">
        <f>SUM(sorted_analysis!$O13+sorted_analysis!$P13)</f>
        <v>77.032999999999987</v>
      </c>
      <c r="R13" s="2" t="str">
        <f>IF(sorted_analysis!$Q13&gt;200,"High Value",IF(sorted_analysis!$Q13&gt;100,"Medium Value","Low Value"))</f>
        <v>Low Value</v>
      </c>
      <c r="S13" s="2" t="s">
        <v>44</v>
      </c>
      <c r="T13" s="2" t="s">
        <v>61</v>
      </c>
      <c r="Y13" t="s">
        <v>26</v>
      </c>
      <c r="Z13" t="s">
        <v>72</v>
      </c>
    </row>
    <row r="14" spans="1:26" outlineLevel="4" x14ac:dyDescent="0.3">
      <c r="A14" s="10" t="s">
        <v>203</v>
      </c>
      <c r="B14" s="11">
        <v>45394</v>
      </c>
      <c r="C14" s="11" t="str">
        <f>TEXT(sorted_analysis!$B14,"MMMM")</f>
        <v>April</v>
      </c>
      <c r="D14" s="12" t="s">
        <v>204</v>
      </c>
      <c r="E14" s="12" t="s">
        <v>205</v>
      </c>
      <c r="F14" s="12" t="s">
        <v>17</v>
      </c>
      <c r="G14" s="12" t="s">
        <v>48</v>
      </c>
      <c r="H14" s="12" t="s">
        <v>19</v>
      </c>
      <c r="I14" s="12" t="s">
        <v>206</v>
      </c>
      <c r="J14" s="12">
        <v>2</v>
      </c>
      <c r="K14" s="12">
        <v>44.99</v>
      </c>
      <c r="L14" s="12">
        <f>sorted_analysis!$K14*sorted_analysis!$J14</f>
        <v>89.98</v>
      </c>
      <c r="M14" s="12">
        <v>15</v>
      </c>
      <c r="N14" s="12">
        <f>sorted_analysis!$L14*(sorted_analysis!$M14/100)</f>
        <v>13.497</v>
      </c>
      <c r="O14" s="12">
        <f>sorted_analysis!$L14-sorted_analysis!$N14</f>
        <v>76.483000000000004</v>
      </c>
      <c r="P14" s="12">
        <v>5.5</v>
      </c>
      <c r="Q14" s="12">
        <f>SUM(sorted_analysis!$O14+sorted_analysis!$P14)</f>
        <v>81.983000000000004</v>
      </c>
      <c r="R14" s="12" t="str">
        <f>IF(sorted_analysis!$Q14&gt;200,"High Value",IF(sorted_analysis!$Q14&gt;100,"Medium Value","Low Value"))</f>
        <v>Low Value</v>
      </c>
      <c r="S14" s="12" t="s">
        <v>21</v>
      </c>
      <c r="T14" s="12" t="s">
        <v>22</v>
      </c>
      <c r="Y14" t="s">
        <v>34</v>
      </c>
      <c r="Z14" t="s">
        <v>61</v>
      </c>
    </row>
    <row r="15" spans="1:26" outlineLevel="4" x14ac:dyDescent="0.3">
      <c r="A15" s="8" t="s">
        <v>427</v>
      </c>
      <c r="B15" s="9">
        <v>45538</v>
      </c>
      <c r="C15" s="9" t="str">
        <f>TEXT(sorted_analysis!$B15,"MMMM")</f>
        <v>September</v>
      </c>
      <c r="D15" s="2" t="s">
        <v>428</v>
      </c>
      <c r="E15" s="2" t="s">
        <v>429</v>
      </c>
      <c r="F15" s="2" t="s">
        <v>17</v>
      </c>
      <c r="G15" s="2" t="s">
        <v>90</v>
      </c>
      <c r="H15" s="2" t="s">
        <v>28</v>
      </c>
      <c r="I15" s="2" t="s">
        <v>430</v>
      </c>
      <c r="J15" s="2">
        <v>1</v>
      </c>
      <c r="K15" s="2">
        <v>89.99</v>
      </c>
      <c r="L15" s="2">
        <f>sorted_analysis!$K15*sorted_analysis!$J15</f>
        <v>89.99</v>
      </c>
      <c r="M15" s="2">
        <v>20</v>
      </c>
      <c r="N15" s="2">
        <f>sorted_analysis!$L15*(sorted_analysis!$M15/100)</f>
        <v>17.998000000000001</v>
      </c>
      <c r="O15" s="2">
        <f>sorted_analysis!$L15-sorted_analysis!$N15</f>
        <v>71.99199999999999</v>
      </c>
      <c r="P15" s="2">
        <v>11.99</v>
      </c>
      <c r="Q15" s="2">
        <f>SUM(sorted_analysis!$O15+sorted_analysis!$P15)</f>
        <v>83.981999999999985</v>
      </c>
      <c r="R15" s="2" t="str">
        <f>IF(sorted_analysis!$Q15&gt;200,"High Value",IF(sorted_analysis!$Q15&gt;100,"Medium Value","Low Value"))</f>
        <v>Low Value</v>
      </c>
      <c r="S15" s="2" t="s">
        <v>21</v>
      </c>
      <c r="T15" s="2" t="s">
        <v>22</v>
      </c>
      <c r="Y15" t="s">
        <v>40</v>
      </c>
    </row>
    <row r="16" spans="1:26" outlineLevel="4" x14ac:dyDescent="0.3">
      <c r="A16" s="10" t="s">
        <v>67</v>
      </c>
      <c r="B16" s="11">
        <v>45313</v>
      </c>
      <c r="C16" s="11" t="str">
        <f>TEXT(sorted_analysis!$B16,"MMMM")</f>
        <v>January</v>
      </c>
      <c r="D16" s="12" t="s">
        <v>68</v>
      </c>
      <c r="E16" s="12" t="s">
        <v>69</v>
      </c>
      <c r="F16" s="12" t="s">
        <v>17</v>
      </c>
      <c r="G16" s="12" t="s">
        <v>70</v>
      </c>
      <c r="H16" s="12" t="s">
        <v>19</v>
      </c>
      <c r="I16" s="12" t="s">
        <v>71</v>
      </c>
      <c r="J16" s="12">
        <v>1</v>
      </c>
      <c r="K16" s="12">
        <v>79.989999999999995</v>
      </c>
      <c r="L16" s="12">
        <f>sorted_analysis!$K16*sorted_analysis!$J16</f>
        <v>79.989999999999995</v>
      </c>
      <c r="M16" s="12">
        <v>0</v>
      </c>
      <c r="N16" s="12">
        <f>sorted_analysis!$L16*(sorted_analysis!$M16/100)</f>
        <v>0</v>
      </c>
      <c r="O16" s="12">
        <f>sorted_analysis!$L16-sorted_analysis!$N16</f>
        <v>79.989999999999995</v>
      </c>
      <c r="P16" s="12">
        <v>6.5</v>
      </c>
      <c r="Q16" s="12">
        <f>SUM(sorted_analysis!$O16+sorted_analysis!$P16)</f>
        <v>86.49</v>
      </c>
      <c r="R16" s="12" t="str">
        <f>IF(sorted_analysis!$Q16&gt;200,"High Value",IF(sorted_analysis!$Q16&gt;100,"Medium Value","Low Value"))</f>
        <v>Low Value</v>
      </c>
      <c r="S16" s="12" t="s">
        <v>44</v>
      </c>
      <c r="T16" s="12" t="s">
        <v>72</v>
      </c>
    </row>
    <row r="17" spans="1:20" outlineLevel="4" x14ac:dyDescent="0.3">
      <c r="A17" s="8" t="s">
        <v>347</v>
      </c>
      <c r="B17" s="9">
        <v>45485</v>
      </c>
      <c r="C17" s="9" t="str">
        <f>TEXT(sorted_analysis!$B17,"MMMM")</f>
        <v>July</v>
      </c>
      <c r="D17" s="2" t="s">
        <v>348</v>
      </c>
      <c r="E17" s="2" t="s">
        <v>349</v>
      </c>
      <c r="F17" s="2" t="s">
        <v>17</v>
      </c>
      <c r="G17" s="2" t="s">
        <v>48</v>
      </c>
      <c r="H17" s="2" t="s">
        <v>19</v>
      </c>
      <c r="I17" s="2" t="s">
        <v>350</v>
      </c>
      <c r="J17" s="2">
        <v>5</v>
      </c>
      <c r="K17" s="2">
        <v>19.989999999999998</v>
      </c>
      <c r="L17" s="2">
        <f>sorted_analysis!$K17*sorted_analysis!$J17</f>
        <v>99.949999999999989</v>
      </c>
      <c r="M17" s="2">
        <v>15</v>
      </c>
      <c r="N17" s="2">
        <f>sorted_analysis!$L17*(sorted_analysis!$M17/100)</f>
        <v>14.992499999999998</v>
      </c>
      <c r="O17" s="2">
        <f>sorted_analysis!$L17-sorted_analysis!$N17</f>
        <v>84.957499999999996</v>
      </c>
      <c r="P17" s="2">
        <v>3.99</v>
      </c>
      <c r="Q17" s="2">
        <f>SUM(sorted_analysis!$O17+sorted_analysis!$P17)</f>
        <v>88.947499999999991</v>
      </c>
      <c r="R17" s="2" t="str">
        <f>IF(sorted_analysis!$Q17&gt;200,"High Value",IF(sorted_analysis!$Q17&gt;100,"Medium Value","Low Value"))</f>
        <v>Low Value</v>
      </c>
      <c r="S17" s="2" t="s">
        <v>30</v>
      </c>
      <c r="T17" s="2" t="s">
        <v>22</v>
      </c>
    </row>
    <row r="18" spans="1:20" outlineLevel="4" x14ac:dyDescent="0.3">
      <c r="A18" s="10" t="s">
        <v>267</v>
      </c>
      <c r="B18" s="11">
        <v>45434</v>
      </c>
      <c r="C18" s="11" t="str">
        <f>TEXT(sorted_analysis!$B18,"MMMM")</f>
        <v>May</v>
      </c>
      <c r="D18" s="12" t="s">
        <v>268</v>
      </c>
      <c r="E18" s="12" t="s">
        <v>269</v>
      </c>
      <c r="F18" s="12" t="s">
        <v>17</v>
      </c>
      <c r="G18" s="12" t="s">
        <v>70</v>
      </c>
      <c r="H18" s="12" t="s">
        <v>28</v>
      </c>
      <c r="I18" s="12" t="s">
        <v>270</v>
      </c>
      <c r="J18" s="12">
        <v>3</v>
      </c>
      <c r="K18" s="12">
        <v>29.99</v>
      </c>
      <c r="L18" s="12">
        <f>sorted_analysis!$K18*sorted_analysis!$J18</f>
        <v>89.97</v>
      </c>
      <c r="M18" s="12">
        <v>5</v>
      </c>
      <c r="N18" s="12">
        <f>sorted_analysis!$L18*(sorted_analysis!$M18/100)</f>
        <v>4.4984999999999999</v>
      </c>
      <c r="O18" s="12">
        <f>sorted_analysis!$L18-sorted_analysis!$N18</f>
        <v>85.471499999999992</v>
      </c>
      <c r="P18" s="12">
        <v>5.99</v>
      </c>
      <c r="Q18" s="12">
        <f>SUM(sorted_analysis!$O18+sorted_analysis!$P18)</f>
        <v>91.461499999999987</v>
      </c>
      <c r="R18" s="12" t="str">
        <f>IF(sorted_analysis!$Q18&gt;200,"High Value",IF(sorted_analysis!$Q18&gt;100,"Medium Value","Low Value"))</f>
        <v>Low Value</v>
      </c>
      <c r="S18" s="12" t="s">
        <v>21</v>
      </c>
      <c r="T18" s="12" t="s">
        <v>22</v>
      </c>
    </row>
    <row r="19" spans="1:20" outlineLevel="4" x14ac:dyDescent="0.3">
      <c r="A19" s="8" t="s">
        <v>45</v>
      </c>
      <c r="B19" s="9">
        <v>45303</v>
      </c>
      <c r="C19" s="9" t="str">
        <f>TEXT(sorted_analysis!$B19,"MMMM")</f>
        <v>January</v>
      </c>
      <c r="D19" s="2" t="s">
        <v>46</v>
      </c>
      <c r="E19" s="2" t="s">
        <v>47</v>
      </c>
      <c r="F19" s="2" t="s">
        <v>17</v>
      </c>
      <c r="G19" s="2" t="s">
        <v>48</v>
      </c>
      <c r="H19" s="2" t="s">
        <v>19</v>
      </c>
      <c r="I19" s="2" t="s">
        <v>49</v>
      </c>
      <c r="J19" s="2">
        <v>1</v>
      </c>
      <c r="K19" s="2">
        <v>89.99</v>
      </c>
      <c r="L19" s="2">
        <f>sorted_analysis!$K19*sorted_analysis!$J19</f>
        <v>89.99</v>
      </c>
      <c r="M19" s="2">
        <v>5</v>
      </c>
      <c r="N19" s="2">
        <f>sorted_analysis!$L19*(sorted_analysis!$M19/100)</f>
        <v>4.4995000000000003</v>
      </c>
      <c r="O19" s="2">
        <f>sorted_analysis!$L19-sorted_analysis!$N19</f>
        <v>85.490499999999997</v>
      </c>
      <c r="P19" s="2">
        <v>8.99</v>
      </c>
      <c r="Q19" s="2">
        <f>SUM(sorted_analysis!$O19+sorted_analysis!$P19)</f>
        <v>94.480499999999992</v>
      </c>
      <c r="R19" s="2" t="str">
        <f>IF(sorted_analysis!$Q19&gt;200,"High Value",IF(sorted_analysis!$Q19&gt;100,"Medium Value","Low Value"))</f>
        <v>Low Value</v>
      </c>
      <c r="S19" s="2" t="s">
        <v>21</v>
      </c>
      <c r="T19" s="2" t="s">
        <v>22</v>
      </c>
    </row>
    <row r="20" spans="1:20" outlineLevel="4" x14ac:dyDescent="0.3">
      <c r="A20" s="10" t="s">
        <v>379</v>
      </c>
      <c r="B20" s="11">
        <v>45507</v>
      </c>
      <c r="C20" s="11" t="str">
        <f>TEXT(sorted_analysis!$B20,"MMMM")</f>
        <v>August</v>
      </c>
      <c r="D20" s="12" t="s">
        <v>380</v>
      </c>
      <c r="E20" s="12" t="s">
        <v>381</v>
      </c>
      <c r="F20" s="12" t="s">
        <v>17</v>
      </c>
      <c r="G20" s="12" t="s">
        <v>90</v>
      </c>
      <c r="H20" s="12" t="s">
        <v>42</v>
      </c>
      <c r="I20" s="12" t="s">
        <v>382</v>
      </c>
      <c r="J20" s="12">
        <v>6</v>
      </c>
      <c r="K20" s="12">
        <v>19.989999999999998</v>
      </c>
      <c r="L20" s="12">
        <f>sorted_analysis!$K20*sorted_analysis!$J20</f>
        <v>119.94</v>
      </c>
      <c r="M20" s="12">
        <v>25</v>
      </c>
      <c r="N20" s="12">
        <f>sorted_analysis!$L20*(sorted_analysis!$M20/100)</f>
        <v>29.984999999999999</v>
      </c>
      <c r="O20" s="12">
        <f>sorted_analysis!$L20-sorted_analysis!$N20</f>
        <v>89.954999999999998</v>
      </c>
      <c r="P20" s="12">
        <v>4.99</v>
      </c>
      <c r="Q20" s="12">
        <f>SUM(sorted_analysis!$O20+sorted_analysis!$P20)</f>
        <v>94.944999999999993</v>
      </c>
      <c r="R20" s="12" t="str">
        <f>IF(sorted_analysis!$Q20&gt;200,"High Value",IF(sorted_analysis!$Q20&gt;100,"Medium Value","Low Value"))</f>
        <v>Low Value</v>
      </c>
      <c r="S20" s="12" t="s">
        <v>21</v>
      </c>
      <c r="T20" s="12" t="s">
        <v>22</v>
      </c>
    </row>
    <row r="21" spans="1:20" outlineLevel="4" x14ac:dyDescent="0.3">
      <c r="A21" s="8" t="s">
        <v>219</v>
      </c>
      <c r="B21" s="9">
        <v>45404</v>
      </c>
      <c r="C21" s="9" t="str">
        <f>TEXT(sorted_analysis!$B21,"MMMM")</f>
        <v>April</v>
      </c>
      <c r="D21" s="2" t="s">
        <v>220</v>
      </c>
      <c r="E21" s="2" t="s">
        <v>221</v>
      </c>
      <c r="F21" s="2" t="s">
        <v>17</v>
      </c>
      <c r="G21" s="2" t="s">
        <v>70</v>
      </c>
      <c r="H21" s="2" t="s">
        <v>42</v>
      </c>
      <c r="I21" s="2" t="s">
        <v>222</v>
      </c>
      <c r="J21" s="2">
        <v>2</v>
      </c>
      <c r="K21" s="2">
        <v>54.99</v>
      </c>
      <c r="L21" s="2">
        <f>sorted_analysis!$K21*sorted_analysis!$J21</f>
        <v>109.98</v>
      </c>
      <c r="M21" s="2">
        <v>20</v>
      </c>
      <c r="N21" s="2">
        <f>sorted_analysis!$L21*(sorted_analysis!$M21/100)</f>
        <v>21.996000000000002</v>
      </c>
      <c r="O21" s="2">
        <f>sorted_analysis!$L21-sorted_analysis!$N21</f>
        <v>87.984000000000009</v>
      </c>
      <c r="P21" s="2">
        <v>7.99</v>
      </c>
      <c r="Q21" s="2">
        <f>SUM(sorted_analysis!$O21+sorted_analysis!$P21)</f>
        <v>95.974000000000004</v>
      </c>
      <c r="R21" s="2" t="str">
        <f>IF(sorted_analysis!$Q21&gt;200,"High Value",IF(sorted_analysis!$Q21&gt;100,"Medium Value","Low Value"))</f>
        <v>Low Value</v>
      </c>
      <c r="S21" s="2" t="s">
        <v>30</v>
      </c>
      <c r="T21" s="2" t="s">
        <v>72</v>
      </c>
    </row>
    <row r="22" spans="1:20" outlineLevel="4" x14ac:dyDescent="0.3">
      <c r="A22" s="10" t="s">
        <v>155</v>
      </c>
      <c r="B22" s="11">
        <v>45363</v>
      </c>
      <c r="C22" s="11" t="str">
        <f>TEXT(sorted_analysis!$B22,"MMMM")</f>
        <v>March</v>
      </c>
      <c r="D22" s="12" t="s">
        <v>156</v>
      </c>
      <c r="E22" s="12" t="s">
        <v>157</v>
      </c>
      <c r="F22" s="12" t="s">
        <v>17</v>
      </c>
      <c r="G22" s="12" t="s">
        <v>48</v>
      </c>
      <c r="H22" s="12" t="s">
        <v>19</v>
      </c>
      <c r="I22" s="12" t="s">
        <v>158</v>
      </c>
      <c r="J22" s="12">
        <v>1</v>
      </c>
      <c r="K22" s="12">
        <v>119.99</v>
      </c>
      <c r="L22" s="12">
        <f>sorted_analysis!$K22*sorted_analysis!$J22</f>
        <v>119.99</v>
      </c>
      <c r="M22" s="12">
        <v>15</v>
      </c>
      <c r="N22" s="12">
        <f>sorted_analysis!$L22*(sorted_analysis!$M22/100)</f>
        <v>17.9985</v>
      </c>
      <c r="O22" s="12">
        <f>sorted_analysis!$L22-sorted_analysis!$N22</f>
        <v>101.9915</v>
      </c>
      <c r="P22" s="12">
        <v>9.99</v>
      </c>
      <c r="Q22" s="12">
        <f>SUM(sorted_analysis!$O22+sorted_analysis!$P22)</f>
        <v>111.9815</v>
      </c>
      <c r="R22" s="12" t="str">
        <f>IF(sorted_analysis!$Q22&gt;200,"High Value",IF(sorted_analysis!$Q22&gt;100,"Medium Value","Low Value"))</f>
        <v>Medium Value</v>
      </c>
      <c r="S22" s="12" t="s">
        <v>21</v>
      </c>
      <c r="T22" s="12" t="s">
        <v>22</v>
      </c>
    </row>
    <row r="23" spans="1:20" outlineLevel="4" x14ac:dyDescent="0.3">
      <c r="A23" s="8" t="s">
        <v>87</v>
      </c>
      <c r="B23" s="9">
        <v>45325</v>
      </c>
      <c r="C23" s="9" t="str">
        <f>TEXT(sorted_analysis!$B23,"MMMM")</f>
        <v>February</v>
      </c>
      <c r="D23" s="2" t="s">
        <v>88</v>
      </c>
      <c r="E23" s="2" t="s">
        <v>89</v>
      </c>
      <c r="F23" s="2" t="s">
        <v>17</v>
      </c>
      <c r="G23" s="2" t="s">
        <v>90</v>
      </c>
      <c r="H23" s="2" t="s">
        <v>42</v>
      </c>
      <c r="I23" s="2" t="s">
        <v>91</v>
      </c>
      <c r="J23" s="2">
        <v>1</v>
      </c>
      <c r="K23" s="2">
        <v>129.99</v>
      </c>
      <c r="L23" s="2">
        <f>sorted_analysis!$K23*sorted_analysis!$J23</f>
        <v>129.99</v>
      </c>
      <c r="M23" s="2">
        <v>20</v>
      </c>
      <c r="N23" s="2">
        <f>sorted_analysis!$L23*(sorted_analysis!$M23/100)</f>
        <v>25.998000000000005</v>
      </c>
      <c r="O23" s="2">
        <f>sorted_analysis!$L23-sorted_analysis!$N23</f>
        <v>103.992</v>
      </c>
      <c r="P23" s="2">
        <v>12.99</v>
      </c>
      <c r="Q23" s="2">
        <f>SUM(sorted_analysis!$O23+sorted_analysis!$P23)</f>
        <v>116.982</v>
      </c>
      <c r="R23" s="2" t="str">
        <f>IF(sorted_analysis!$Q23&gt;200,"High Value",IF(sorted_analysis!$Q23&gt;100,"Medium Value","Low Value"))</f>
        <v>Medium Value</v>
      </c>
      <c r="S23" s="2" t="s">
        <v>21</v>
      </c>
      <c r="T23" s="2" t="s">
        <v>22</v>
      </c>
    </row>
    <row r="24" spans="1:20" outlineLevel="4" x14ac:dyDescent="0.3">
      <c r="A24" s="10" t="s">
        <v>139</v>
      </c>
      <c r="B24" s="11">
        <v>45354</v>
      </c>
      <c r="C24" s="11" t="str">
        <f>TEXT(sorted_analysis!$B24,"MMMM")</f>
        <v>March</v>
      </c>
      <c r="D24" s="12" t="s">
        <v>140</v>
      </c>
      <c r="E24" s="12" t="s">
        <v>141</v>
      </c>
      <c r="F24" s="12" t="s">
        <v>17</v>
      </c>
      <c r="G24" s="12" t="s">
        <v>90</v>
      </c>
      <c r="H24" s="12" t="s">
        <v>28</v>
      </c>
      <c r="I24" s="12" t="s">
        <v>142</v>
      </c>
      <c r="J24" s="12">
        <v>2</v>
      </c>
      <c r="K24" s="12">
        <v>54.99</v>
      </c>
      <c r="L24" s="12">
        <f>sorted_analysis!$K24*sorted_analysis!$J24</f>
        <v>109.98</v>
      </c>
      <c r="M24" s="12">
        <v>0</v>
      </c>
      <c r="N24" s="12">
        <f>sorted_analysis!$L24*(sorted_analysis!$M24/100)</f>
        <v>0</v>
      </c>
      <c r="O24" s="12">
        <f>sorted_analysis!$L24-sorted_analysis!$N24</f>
        <v>109.98</v>
      </c>
      <c r="P24" s="12">
        <v>8.5</v>
      </c>
      <c r="Q24" s="12">
        <f>SUM(sorted_analysis!$O24+sorted_analysis!$P24)</f>
        <v>118.48</v>
      </c>
      <c r="R24" s="12" t="str">
        <f>IF(sorted_analysis!$Q24&gt;200,"High Value",IF(sorted_analysis!$Q24&gt;100,"Medium Value","Low Value"))</f>
        <v>Medium Value</v>
      </c>
      <c r="S24" s="12" t="s">
        <v>21</v>
      </c>
      <c r="T24" s="12" t="s">
        <v>22</v>
      </c>
    </row>
    <row r="25" spans="1:20" outlineLevel="4" x14ac:dyDescent="0.3">
      <c r="A25" s="8" t="s">
        <v>106</v>
      </c>
      <c r="B25" s="9">
        <v>45334</v>
      </c>
      <c r="C25" s="9" t="str">
        <f>TEXT(sorted_analysis!$B25,"MMMM")</f>
        <v>February</v>
      </c>
      <c r="D25" s="2" t="s">
        <v>107</v>
      </c>
      <c r="E25" s="2" t="s">
        <v>108</v>
      </c>
      <c r="F25" s="2" t="s">
        <v>17</v>
      </c>
      <c r="G25" s="2" t="s">
        <v>48</v>
      </c>
      <c r="H25" s="2" t="s">
        <v>19</v>
      </c>
      <c r="I25" s="2" t="s">
        <v>109</v>
      </c>
      <c r="J25" s="2">
        <v>1</v>
      </c>
      <c r="K25" s="2">
        <v>299.99</v>
      </c>
      <c r="L25" s="2">
        <f>sorted_analysis!$K25*sorted_analysis!$J25</f>
        <v>299.99</v>
      </c>
      <c r="M25" s="2">
        <v>10</v>
      </c>
      <c r="N25" s="2">
        <f>sorted_analysis!$L25*(sorted_analysis!$M25/100)</f>
        <v>29.999000000000002</v>
      </c>
      <c r="O25" s="2">
        <f>sorted_analysis!$L25-sorted_analysis!$N25</f>
        <v>269.99099999999999</v>
      </c>
      <c r="P25" s="2">
        <v>15.99</v>
      </c>
      <c r="Q25" s="2">
        <f>SUM(sorted_analysis!$O25+sorted_analysis!$P25)</f>
        <v>285.98099999999999</v>
      </c>
      <c r="R25" s="2" t="str">
        <f>IF(sorted_analysis!$Q25&gt;200,"High Value",IF(sorted_analysis!$Q25&gt;100,"Medium Value","Low Value"))</f>
        <v>High Value</v>
      </c>
      <c r="S25" s="2" t="s">
        <v>21</v>
      </c>
      <c r="T25" s="2" t="s">
        <v>22</v>
      </c>
    </row>
    <row r="26" spans="1:20" outlineLevel="4" x14ac:dyDescent="0.3">
      <c r="A26" s="10" t="s">
        <v>395</v>
      </c>
      <c r="B26" s="11">
        <v>45516</v>
      </c>
      <c r="C26" s="11" t="str">
        <f>TEXT(sorted_analysis!$B26,"MMMM")</f>
        <v>August</v>
      </c>
      <c r="D26" s="12" t="s">
        <v>396</v>
      </c>
      <c r="E26" s="12" t="s">
        <v>397</v>
      </c>
      <c r="F26" s="12" t="s">
        <v>17</v>
      </c>
      <c r="G26" s="12" t="s">
        <v>48</v>
      </c>
      <c r="H26" s="12" t="s">
        <v>19</v>
      </c>
      <c r="I26" s="12" t="s">
        <v>398</v>
      </c>
      <c r="J26" s="12">
        <v>1</v>
      </c>
      <c r="K26" s="12">
        <v>399.99</v>
      </c>
      <c r="L26" s="12">
        <f>sorted_analysis!$K26*sorted_analysis!$J26</f>
        <v>399.99</v>
      </c>
      <c r="M26" s="12">
        <v>20</v>
      </c>
      <c r="N26" s="12">
        <f>sorted_analysis!$L26*(sorted_analysis!$M26/100)</f>
        <v>79.998000000000005</v>
      </c>
      <c r="O26" s="12">
        <f>sorted_analysis!$L26-sorted_analysis!$N26</f>
        <v>319.99200000000002</v>
      </c>
      <c r="P26" s="12">
        <v>19.989999999999998</v>
      </c>
      <c r="Q26" s="12">
        <f>SUM(sorted_analysis!$O26+sorted_analysis!$P26)</f>
        <v>339.98200000000003</v>
      </c>
      <c r="R26" s="12" t="str">
        <f>IF(sorted_analysis!$Q26&gt;200,"High Value",IF(sorted_analysis!$Q26&gt;100,"Medium Value","Low Value"))</f>
        <v>High Value</v>
      </c>
      <c r="S26" s="12" t="s">
        <v>44</v>
      </c>
      <c r="T26" s="12" t="s">
        <v>22</v>
      </c>
    </row>
    <row r="27" spans="1:20" s="13" customFormat="1" outlineLevel="3" x14ac:dyDescent="0.3">
      <c r="A27" s="14"/>
      <c r="B27" s="15"/>
      <c r="C27" s="15"/>
      <c r="D27" s="16"/>
      <c r="E27" s="16"/>
      <c r="F27" s="17" t="s">
        <v>460</v>
      </c>
      <c r="G27" s="16"/>
      <c r="H27" s="16"/>
      <c r="I27" s="16"/>
      <c r="J27" s="16"/>
      <c r="K27" s="16"/>
      <c r="L27" s="16"/>
      <c r="M27" s="16"/>
      <c r="N27" s="16"/>
      <c r="O27" s="16"/>
      <c r="P27" s="16"/>
      <c r="Q27" s="16">
        <f>SUBTOTAL(3,Q2:Q26)</f>
        <v>25</v>
      </c>
      <c r="R27" s="16"/>
      <c r="S27" s="16"/>
      <c r="T27" s="16"/>
    </row>
    <row r="28" spans="1:20" s="13" customFormat="1" outlineLevel="2" x14ac:dyDescent="0.3">
      <c r="A28" s="14"/>
      <c r="B28" s="15"/>
      <c r="C28" s="15"/>
      <c r="D28" s="16"/>
      <c r="E28" s="16"/>
      <c r="F28" s="17" t="s">
        <v>451</v>
      </c>
      <c r="G28" s="16"/>
      <c r="H28" s="16"/>
      <c r="I28" s="16"/>
      <c r="J28" s="16"/>
      <c r="K28" s="16"/>
      <c r="L28" s="16"/>
      <c r="M28" s="16"/>
      <c r="N28" s="16"/>
      <c r="O28" s="16"/>
      <c r="P28" s="16"/>
      <c r="Q28" s="16">
        <f>SUBTOTAL(9,Q2:Q26)</f>
        <v>2376.8214999999996</v>
      </c>
      <c r="R28" s="16"/>
      <c r="S28" s="16"/>
      <c r="T28" s="16"/>
    </row>
    <row r="29" spans="1:20" s="13" customFormat="1" outlineLevel="1" x14ac:dyDescent="0.3">
      <c r="A29" s="14"/>
      <c r="B29" s="15"/>
      <c r="C29" s="15"/>
      <c r="D29" s="16"/>
      <c r="E29" s="16"/>
      <c r="F29" s="17" t="s">
        <v>455</v>
      </c>
      <c r="G29" s="16"/>
      <c r="H29" s="16"/>
      <c r="I29" s="16"/>
      <c r="J29" s="16"/>
      <c r="K29" s="16"/>
      <c r="L29" s="16"/>
      <c r="M29" s="16"/>
      <c r="N29" s="16"/>
      <c r="O29" s="16"/>
      <c r="P29" s="16"/>
      <c r="Q29" s="16">
        <f>SUBTOTAL(1,Q2:Q26)</f>
        <v>95.072859999999977</v>
      </c>
      <c r="R29" s="16"/>
      <c r="S29" s="16"/>
      <c r="T29" s="16"/>
    </row>
    <row r="30" spans="1:20" outlineLevel="4" x14ac:dyDescent="0.3">
      <c r="A30" s="8" t="s">
        <v>303</v>
      </c>
      <c r="B30" s="9">
        <v>45458</v>
      </c>
      <c r="C30" s="9" t="str">
        <f>TEXT(sorted_analysis!$B30,"MMMM")</f>
        <v>June</v>
      </c>
      <c r="D30" s="2" t="s">
        <v>304</v>
      </c>
      <c r="E30" s="2" t="s">
        <v>305</v>
      </c>
      <c r="F30" s="2" t="s">
        <v>26</v>
      </c>
      <c r="G30" s="2" t="s">
        <v>27</v>
      </c>
      <c r="H30" s="2" t="s">
        <v>28</v>
      </c>
      <c r="I30" s="2" t="s">
        <v>306</v>
      </c>
      <c r="J30" s="2">
        <v>2</v>
      </c>
      <c r="K30" s="2">
        <v>24.99</v>
      </c>
      <c r="L30" s="2">
        <f>sorted_analysis!$K30*sorted_analysis!$J30</f>
        <v>49.98</v>
      </c>
      <c r="M30" s="2">
        <v>15</v>
      </c>
      <c r="N30" s="2">
        <f>sorted_analysis!$L30*(sorted_analysis!$M30/100)</f>
        <v>7.496999999999999</v>
      </c>
      <c r="O30" s="2">
        <f>sorted_analysis!$L30-sorted_analysis!$N30</f>
        <v>42.482999999999997</v>
      </c>
      <c r="P30" s="2">
        <v>5.5</v>
      </c>
      <c r="Q30" s="2">
        <f>SUM(sorted_analysis!$O30+sorted_analysis!$P30)</f>
        <v>47.982999999999997</v>
      </c>
      <c r="R30" s="2" t="str">
        <f>IF(sorted_analysis!$Q30&gt;200,"High Value",IF(sorted_analysis!$Q30&gt;100,"Medium Value","Low Value"))</f>
        <v>Low Value</v>
      </c>
      <c r="S30" s="2" t="s">
        <v>30</v>
      </c>
      <c r="T30" s="2" t="s">
        <v>22</v>
      </c>
    </row>
    <row r="31" spans="1:20" outlineLevel="4" x14ac:dyDescent="0.3">
      <c r="A31" s="10" t="s">
        <v>207</v>
      </c>
      <c r="B31" s="11">
        <v>45397</v>
      </c>
      <c r="C31" s="11" t="str">
        <f>TEXT(sorted_analysis!$B31,"MMMM")</f>
        <v>April</v>
      </c>
      <c r="D31" s="12" t="s">
        <v>208</v>
      </c>
      <c r="E31" s="12" t="s">
        <v>209</v>
      </c>
      <c r="F31" s="12" t="s">
        <v>26</v>
      </c>
      <c r="G31" s="12" t="s">
        <v>76</v>
      </c>
      <c r="H31" s="12" t="s">
        <v>59</v>
      </c>
      <c r="I31" s="12" t="s">
        <v>210</v>
      </c>
      <c r="J31" s="12">
        <v>1</v>
      </c>
      <c r="K31" s="12">
        <v>44.99</v>
      </c>
      <c r="L31" s="12">
        <f>sorted_analysis!$K31*sorted_analysis!$J31</f>
        <v>44.99</v>
      </c>
      <c r="M31" s="12">
        <v>0</v>
      </c>
      <c r="N31" s="12">
        <f>sorted_analysis!$L31*(sorted_analysis!$M31/100)</f>
        <v>0</v>
      </c>
      <c r="O31" s="12">
        <f>sorted_analysis!$L31-sorted_analysis!$N31</f>
        <v>44.99</v>
      </c>
      <c r="P31" s="12">
        <v>4.5</v>
      </c>
      <c r="Q31" s="12">
        <f>SUM(sorted_analysis!$O31+sorted_analysis!$P31)</f>
        <v>49.49</v>
      </c>
      <c r="R31" s="12" t="str">
        <f>IF(sorted_analysis!$Q31&gt;200,"High Value",IF(sorted_analysis!$Q31&gt;100,"Medium Value","Low Value"))</f>
        <v>Low Value</v>
      </c>
      <c r="S31" s="12" t="s">
        <v>30</v>
      </c>
      <c r="T31" s="12" t="s">
        <v>22</v>
      </c>
    </row>
    <row r="32" spans="1:20" outlineLevel="4" x14ac:dyDescent="0.3">
      <c r="A32" s="8" t="s">
        <v>287</v>
      </c>
      <c r="B32" s="9">
        <v>45448</v>
      </c>
      <c r="C32" s="9" t="str">
        <f>TEXT(sorted_analysis!$B32,"MMMM")</f>
        <v>June</v>
      </c>
      <c r="D32" s="2" t="s">
        <v>288</v>
      </c>
      <c r="E32" s="2" t="s">
        <v>289</v>
      </c>
      <c r="F32" s="2" t="s">
        <v>26</v>
      </c>
      <c r="G32" s="2" t="s">
        <v>95</v>
      </c>
      <c r="H32" s="2" t="s">
        <v>19</v>
      </c>
      <c r="I32" s="2" t="s">
        <v>290</v>
      </c>
      <c r="J32" s="2">
        <v>3</v>
      </c>
      <c r="K32" s="2">
        <v>19.989999999999998</v>
      </c>
      <c r="L32" s="2">
        <f>sorted_analysis!$K32*sorted_analysis!$J32</f>
        <v>59.97</v>
      </c>
      <c r="M32" s="2">
        <v>20</v>
      </c>
      <c r="N32" s="2">
        <f>sorted_analysis!$L32*(sorted_analysis!$M32/100)</f>
        <v>11.994</v>
      </c>
      <c r="O32" s="2">
        <f>sorted_analysis!$L32-sorted_analysis!$N32</f>
        <v>47.975999999999999</v>
      </c>
      <c r="P32" s="2">
        <v>4.5</v>
      </c>
      <c r="Q32" s="2">
        <f>SUM(sorted_analysis!$O32+sorted_analysis!$P32)</f>
        <v>52.475999999999999</v>
      </c>
      <c r="R32" s="2" t="str">
        <f>IF(sorted_analysis!$Q32&gt;200,"High Value",IF(sorted_analysis!$Q32&gt;100,"Medium Value","Low Value"))</f>
        <v>Low Value</v>
      </c>
      <c r="S32" s="2" t="s">
        <v>21</v>
      </c>
      <c r="T32" s="2" t="s">
        <v>22</v>
      </c>
    </row>
    <row r="33" spans="1:20" outlineLevel="4" x14ac:dyDescent="0.3">
      <c r="A33" s="10" t="s">
        <v>23</v>
      </c>
      <c r="B33" s="11">
        <v>45298</v>
      </c>
      <c r="C33" s="11" t="str">
        <f>TEXT(sorted_analysis!$B33,"MMMM")</f>
        <v>January</v>
      </c>
      <c r="D33" s="12" t="s">
        <v>24</v>
      </c>
      <c r="E33" s="12" t="s">
        <v>25</v>
      </c>
      <c r="F33" s="12" t="s">
        <v>26</v>
      </c>
      <c r="G33" s="12" t="s">
        <v>27</v>
      </c>
      <c r="H33" s="12" t="s">
        <v>28</v>
      </c>
      <c r="I33" s="12" t="s">
        <v>29</v>
      </c>
      <c r="J33" s="12">
        <v>1</v>
      </c>
      <c r="K33" s="12">
        <v>45.5</v>
      </c>
      <c r="L33" s="12">
        <f>sorted_analysis!$K33*sorted_analysis!$J33</f>
        <v>45.5</v>
      </c>
      <c r="M33" s="12">
        <v>0</v>
      </c>
      <c r="N33" s="12">
        <f>sorted_analysis!$L33*(sorted_analysis!$M33/100)</f>
        <v>0</v>
      </c>
      <c r="O33" s="12">
        <f>sorted_analysis!$L33-sorted_analysis!$N33</f>
        <v>45.5</v>
      </c>
      <c r="P33" s="12">
        <v>7.5</v>
      </c>
      <c r="Q33" s="12">
        <f>SUM(sorted_analysis!$O33+sorted_analysis!$P33)</f>
        <v>53</v>
      </c>
      <c r="R33" s="12" t="str">
        <f>IF(sorted_analysis!$Q33&gt;200,"High Value",IF(sorted_analysis!$Q33&gt;100,"Medium Value","Low Value"))</f>
        <v>Low Value</v>
      </c>
      <c r="S33" s="12" t="s">
        <v>30</v>
      </c>
      <c r="T33" s="12" t="s">
        <v>22</v>
      </c>
    </row>
    <row r="34" spans="1:20" outlineLevel="4" x14ac:dyDescent="0.3">
      <c r="A34" s="8" t="s">
        <v>351</v>
      </c>
      <c r="B34" s="9">
        <v>45488</v>
      </c>
      <c r="C34" s="9" t="str">
        <f>TEXT(sorted_analysis!$B34,"MMMM")</f>
        <v>July</v>
      </c>
      <c r="D34" s="2" t="s">
        <v>352</v>
      </c>
      <c r="E34" s="2" t="s">
        <v>353</v>
      </c>
      <c r="F34" s="2" t="s">
        <v>26</v>
      </c>
      <c r="G34" s="2" t="s">
        <v>95</v>
      </c>
      <c r="H34" s="2" t="s">
        <v>59</v>
      </c>
      <c r="I34" s="2" t="s">
        <v>354</v>
      </c>
      <c r="J34" s="2">
        <v>1</v>
      </c>
      <c r="K34" s="2">
        <v>49.99</v>
      </c>
      <c r="L34" s="2">
        <f>sorted_analysis!$K34*sorted_analysis!$J34</f>
        <v>49.99</v>
      </c>
      <c r="M34" s="2">
        <v>0</v>
      </c>
      <c r="N34" s="2">
        <f>sorted_analysis!$L34*(sorted_analysis!$M34/100)</f>
        <v>0</v>
      </c>
      <c r="O34" s="2">
        <f>sorted_analysis!$L34-sorted_analysis!$N34</f>
        <v>49.99</v>
      </c>
      <c r="P34" s="2">
        <v>4.99</v>
      </c>
      <c r="Q34" s="2">
        <f>SUM(sorted_analysis!$O34+sorted_analysis!$P34)</f>
        <v>54.980000000000004</v>
      </c>
      <c r="R34" s="2" t="str">
        <f>IF(sorted_analysis!$Q34&gt;200,"High Value",IF(sorted_analysis!$Q34&gt;100,"Medium Value","Low Value"))</f>
        <v>Low Value</v>
      </c>
      <c r="S34" s="2" t="s">
        <v>21</v>
      </c>
      <c r="T34" s="2" t="s">
        <v>22</v>
      </c>
    </row>
    <row r="35" spans="1:20" outlineLevel="4" x14ac:dyDescent="0.3">
      <c r="A35" s="10" t="s">
        <v>223</v>
      </c>
      <c r="B35" s="11">
        <v>45407</v>
      </c>
      <c r="C35" s="11" t="str">
        <f>TEXT(sorted_analysis!$B35,"MMMM")</f>
        <v>April</v>
      </c>
      <c r="D35" s="12" t="s">
        <v>224</v>
      </c>
      <c r="E35" s="12" t="s">
        <v>225</v>
      </c>
      <c r="F35" s="12" t="s">
        <v>26</v>
      </c>
      <c r="G35" s="12" t="s">
        <v>95</v>
      </c>
      <c r="H35" s="12" t="s">
        <v>59</v>
      </c>
      <c r="I35" s="12" t="s">
        <v>226</v>
      </c>
      <c r="J35" s="12">
        <v>2</v>
      </c>
      <c r="K35" s="12">
        <v>29.99</v>
      </c>
      <c r="L35" s="12">
        <f>sorted_analysis!$K35*sorted_analysis!$J35</f>
        <v>59.98</v>
      </c>
      <c r="M35" s="12">
        <v>15</v>
      </c>
      <c r="N35" s="12">
        <f>sorted_analysis!$L35*(sorted_analysis!$M35/100)</f>
        <v>8.9969999999999999</v>
      </c>
      <c r="O35" s="12">
        <f>sorted_analysis!$L35-sorted_analysis!$N35</f>
        <v>50.982999999999997</v>
      </c>
      <c r="P35" s="12">
        <v>4.99</v>
      </c>
      <c r="Q35" s="12">
        <f>SUM(sorted_analysis!$O35+sorted_analysis!$P35)</f>
        <v>55.972999999999999</v>
      </c>
      <c r="R35" s="12" t="str">
        <f>IF(sorted_analysis!$Q35&gt;200,"High Value",IF(sorted_analysis!$Q35&gt;100,"Medium Value","Low Value"))</f>
        <v>Low Value</v>
      </c>
      <c r="S35" s="12" t="s">
        <v>21</v>
      </c>
      <c r="T35" s="12" t="s">
        <v>22</v>
      </c>
    </row>
    <row r="36" spans="1:20" outlineLevel="4" x14ac:dyDescent="0.3">
      <c r="A36" s="8" t="s">
        <v>335</v>
      </c>
      <c r="B36" s="9">
        <v>45478</v>
      </c>
      <c r="C36" s="9" t="str">
        <f>TEXT(sorted_analysis!$B36,"MMMM")</f>
        <v>July</v>
      </c>
      <c r="D36" s="2" t="s">
        <v>336</v>
      </c>
      <c r="E36" s="2" t="s">
        <v>337</v>
      </c>
      <c r="F36" s="2" t="s">
        <v>26</v>
      </c>
      <c r="G36" s="2" t="s">
        <v>76</v>
      </c>
      <c r="H36" s="2" t="s">
        <v>19</v>
      </c>
      <c r="I36" s="2" t="s">
        <v>338</v>
      </c>
      <c r="J36" s="2">
        <v>1</v>
      </c>
      <c r="K36" s="2">
        <v>59.99</v>
      </c>
      <c r="L36" s="2">
        <f>sorted_analysis!$K36*sorted_analysis!$J36</f>
        <v>59.99</v>
      </c>
      <c r="M36" s="2">
        <v>20</v>
      </c>
      <c r="N36" s="2">
        <f>sorted_analysis!$L36*(sorted_analysis!$M36/100)</f>
        <v>11.998000000000001</v>
      </c>
      <c r="O36" s="2">
        <f>sorted_analysis!$L36-sorted_analysis!$N36</f>
        <v>47.992000000000004</v>
      </c>
      <c r="P36" s="2">
        <v>7.99</v>
      </c>
      <c r="Q36" s="2">
        <f>SUM(sorted_analysis!$O36+sorted_analysis!$P36)</f>
        <v>55.982000000000006</v>
      </c>
      <c r="R36" s="2" t="str">
        <f>IF(sorted_analysis!$Q36&gt;200,"High Value",IF(sorted_analysis!$Q36&gt;100,"Medium Value","Low Value"))</f>
        <v>Low Value</v>
      </c>
      <c r="S36" s="2" t="s">
        <v>21</v>
      </c>
      <c r="T36" s="2" t="s">
        <v>72</v>
      </c>
    </row>
    <row r="37" spans="1:20" outlineLevel="4" x14ac:dyDescent="0.3">
      <c r="A37" s="10" t="s">
        <v>255</v>
      </c>
      <c r="B37" s="11">
        <v>45427</v>
      </c>
      <c r="C37" s="11" t="str">
        <f>TEXT(sorted_analysis!$B37,"MMMM")</f>
        <v>May</v>
      </c>
      <c r="D37" s="12" t="s">
        <v>256</v>
      </c>
      <c r="E37" s="12" t="s">
        <v>257</v>
      </c>
      <c r="F37" s="12" t="s">
        <v>26</v>
      </c>
      <c r="G37" s="12" t="s">
        <v>53</v>
      </c>
      <c r="H37" s="12" t="s">
        <v>42</v>
      </c>
      <c r="I37" s="12" t="s">
        <v>258</v>
      </c>
      <c r="J37" s="12">
        <v>1</v>
      </c>
      <c r="K37" s="12">
        <v>64.989999999999995</v>
      </c>
      <c r="L37" s="12">
        <f>sorted_analysis!$K37*sorted_analysis!$J37</f>
        <v>64.989999999999995</v>
      </c>
      <c r="M37" s="12">
        <v>20</v>
      </c>
      <c r="N37" s="12">
        <f>sorted_analysis!$L37*(sorted_analysis!$M37/100)</f>
        <v>12.997999999999999</v>
      </c>
      <c r="O37" s="12">
        <f>sorted_analysis!$L37-sorted_analysis!$N37</f>
        <v>51.991999999999997</v>
      </c>
      <c r="P37" s="12">
        <v>7.99</v>
      </c>
      <c r="Q37" s="12">
        <f>SUM(sorted_analysis!$O37+sorted_analysis!$P37)</f>
        <v>59.981999999999999</v>
      </c>
      <c r="R37" s="12" t="str">
        <f>IF(sorted_analysis!$Q37&gt;200,"High Value",IF(sorted_analysis!$Q37&gt;100,"Medium Value","Low Value"))</f>
        <v>Low Value</v>
      </c>
      <c r="S37" s="12" t="s">
        <v>44</v>
      </c>
      <c r="T37" s="12" t="s">
        <v>22</v>
      </c>
    </row>
    <row r="38" spans="1:20" outlineLevel="4" x14ac:dyDescent="0.3">
      <c r="A38" s="8" t="s">
        <v>367</v>
      </c>
      <c r="B38" s="9">
        <v>45498</v>
      </c>
      <c r="C38" s="9" t="str">
        <f>TEXT(sorted_analysis!$B38,"MMMM")</f>
        <v>July</v>
      </c>
      <c r="D38" s="2" t="s">
        <v>368</v>
      </c>
      <c r="E38" s="2" t="s">
        <v>369</v>
      </c>
      <c r="F38" s="2" t="s">
        <v>26</v>
      </c>
      <c r="G38" s="2" t="s">
        <v>27</v>
      </c>
      <c r="H38" s="2" t="s">
        <v>59</v>
      </c>
      <c r="I38" s="2" t="s">
        <v>370</v>
      </c>
      <c r="J38" s="2">
        <v>2</v>
      </c>
      <c r="K38" s="2">
        <v>34.99</v>
      </c>
      <c r="L38" s="2">
        <f>sorted_analysis!$K38*sorted_analysis!$J38</f>
        <v>69.98</v>
      </c>
      <c r="M38" s="2">
        <v>15</v>
      </c>
      <c r="N38" s="2">
        <f>sorted_analysis!$L38*(sorted_analysis!$M38/100)</f>
        <v>10.497</v>
      </c>
      <c r="O38" s="2">
        <f>sorted_analysis!$L38-sorted_analysis!$N38</f>
        <v>59.483000000000004</v>
      </c>
      <c r="P38" s="2">
        <v>4.5</v>
      </c>
      <c r="Q38" s="2">
        <f>SUM(sorted_analysis!$O38+sorted_analysis!$P38)</f>
        <v>63.983000000000004</v>
      </c>
      <c r="R38" s="2" t="str">
        <f>IF(sorted_analysis!$Q38&gt;200,"High Value",IF(sorted_analysis!$Q38&gt;100,"Medium Value","Low Value"))</f>
        <v>Low Value</v>
      </c>
      <c r="S38" s="2" t="s">
        <v>44</v>
      </c>
      <c r="T38" s="2" t="s">
        <v>72</v>
      </c>
    </row>
    <row r="39" spans="1:20" outlineLevel="4" x14ac:dyDescent="0.3">
      <c r="A39" s="10" t="s">
        <v>399</v>
      </c>
      <c r="B39" s="11">
        <v>45519</v>
      </c>
      <c r="C39" s="11" t="str">
        <f>TEXT(sorted_analysis!$B39,"MMMM")</f>
        <v>August</v>
      </c>
      <c r="D39" s="12" t="s">
        <v>400</v>
      </c>
      <c r="E39" s="12" t="s">
        <v>401</v>
      </c>
      <c r="F39" s="12" t="s">
        <v>26</v>
      </c>
      <c r="G39" s="12" t="s">
        <v>76</v>
      </c>
      <c r="H39" s="12" t="s">
        <v>42</v>
      </c>
      <c r="I39" s="12" t="s">
        <v>402</v>
      </c>
      <c r="J39" s="12">
        <v>2</v>
      </c>
      <c r="K39" s="12">
        <v>34.99</v>
      </c>
      <c r="L39" s="12">
        <f>sorted_analysis!$K39*sorted_analysis!$J39</f>
        <v>69.98</v>
      </c>
      <c r="M39" s="12">
        <v>10</v>
      </c>
      <c r="N39" s="12">
        <f>sorted_analysis!$L39*(sorted_analysis!$M39/100)</f>
        <v>6.9980000000000011</v>
      </c>
      <c r="O39" s="12">
        <f>sorted_analysis!$L39-sorted_analysis!$N39</f>
        <v>62.981999999999999</v>
      </c>
      <c r="P39" s="12">
        <v>5.99</v>
      </c>
      <c r="Q39" s="12">
        <f>SUM(sorted_analysis!$O39+sorted_analysis!$P39)</f>
        <v>68.971999999999994</v>
      </c>
      <c r="R39" s="12" t="str">
        <f>IF(sorted_analysis!$Q39&gt;200,"High Value",IF(sorted_analysis!$Q39&gt;100,"Medium Value","Low Value"))</f>
        <v>Low Value</v>
      </c>
      <c r="S39" s="12" t="s">
        <v>21</v>
      </c>
      <c r="T39" s="12" t="s">
        <v>22</v>
      </c>
    </row>
    <row r="40" spans="1:20" outlineLevel="4" x14ac:dyDescent="0.3">
      <c r="A40" s="8" t="s">
        <v>415</v>
      </c>
      <c r="B40" s="9">
        <v>45529</v>
      </c>
      <c r="C40" s="9" t="str">
        <f>TEXT(sorted_analysis!$B40,"MMMM")</f>
        <v>August</v>
      </c>
      <c r="D40" s="2" t="s">
        <v>416</v>
      </c>
      <c r="E40" s="2" t="s">
        <v>417</v>
      </c>
      <c r="F40" s="2" t="s">
        <v>26</v>
      </c>
      <c r="G40" s="2" t="s">
        <v>95</v>
      </c>
      <c r="H40" s="2" t="s">
        <v>42</v>
      </c>
      <c r="I40" s="2" t="s">
        <v>418</v>
      </c>
      <c r="J40" s="2">
        <v>2</v>
      </c>
      <c r="K40" s="2">
        <v>44.99</v>
      </c>
      <c r="L40" s="2">
        <f>sorted_analysis!$K40*sorted_analysis!$J40</f>
        <v>89.98</v>
      </c>
      <c r="M40" s="2">
        <v>25</v>
      </c>
      <c r="N40" s="2">
        <f>sorted_analysis!$L40*(sorted_analysis!$M40/100)</f>
        <v>22.495000000000001</v>
      </c>
      <c r="O40" s="2">
        <f>sorted_analysis!$L40-sorted_analysis!$N40</f>
        <v>67.484999999999999</v>
      </c>
      <c r="P40" s="2">
        <v>6.5</v>
      </c>
      <c r="Q40" s="2">
        <f>SUM(sorted_analysis!$O40+sorted_analysis!$P40)</f>
        <v>73.984999999999999</v>
      </c>
      <c r="R40" s="2" t="str">
        <f>IF(sorted_analysis!$Q40&gt;200,"High Value",IF(sorted_analysis!$Q40&gt;100,"Medium Value","Low Value"))</f>
        <v>Low Value</v>
      </c>
      <c r="S40" s="2" t="s">
        <v>30</v>
      </c>
      <c r="T40" s="2" t="s">
        <v>22</v>
      </c>
    </row>
    <row r="41" spans="1:20" outlineLevel="4" x14ac:dyDescent="0.3">
      <c r="A41" s="10" t="s">
        <v>143</v>
      </c>
      <c r="B41" s="11">
        <v>45356</v>
      </c>
      <c r="C41" s="11" t="str">
        <f>TEXT(sorted_analysis!$B41,"MMMM")</f>
        <v>March</v>
      </c>
      <c r="D41" s="12" t="s">
        <v>144</v>
      </c>
      <c r="E41" s="12" t="s">
        <v>145</v>
      </c>
      <c r="F41" s="12" t="s">
        <v>26</v>
      </c>
      <c r="G41" s="12" t="s">
        <v>76</v>
      </c>
      <c r="H41" s="12" t="s">
        <v>19</v>
      </c>
      <c r="I41" s="12" t="s">
        <v>146</v>
      </c>
      <c r="J41" s="12">
        <v>4</v>
      </c>
      <c r="K41" s="12">
        <v>19.989999999999998</v>
      </c>
      <c r="L41" s="12">
        <f>sorted_analysis!$K41*sorted_analysis!$J41</f>
        <v>79.959999999999994</v>
      </c>
      <c r="M41" s="12">
        <v>10</v>
      </c>
      <c r="N41" s="12">
        <f>sorted_analysis!$L41*(sorted_analysis!$M41/100)</f>
        <v>7.9959999999999996</v>
      </c>
      <c r="O41" s="12">
        <f>sorted_analysis!$L41-sorted_analysis!$N41</f>
        <v>71.963999999999999</v>
      </c>
      <c r="P41" s="12">
        <v>3.99</v>
      </c>
      <c r="Q41" s="12">
        <f>SUM(sorted_analysis!$O41+sorted_analysis!$P41)</f>
        <v>75.953999999999994</v>
      </c>
      <c r="R41" s="12" t="str">
        <f>IF(sorted_analysis!$Q41&gt;200,"High Value",IF(sorted_analysis!$Q41&gt;100,"Medium Value","Low Value"))</f>
        <v>Low Value</v>
      </c>
      <c r="S41" s="12" t="s">
        <v>44</v>
      </c>
      <c r="T41" s="12" t="s">
        <v>22</v>
      </c>
    </row>
    <row r="42" spans="1:20" outlineLevel="4" x14ac:dyDescent="0.3">
      <c r="A42" s="8" t="s">
        <v>159</v>
      </c>
      <c r="B42" s="9">
        <v>45366</v>
      </c>
      <c r="C42" s="9" t="str">
        <f>TEXT(sorted_analysis!$B42,"MMMM")</f>
        <v>March</v>
      </c>
      <c r="D42" s="2" t="s">
        <v>160</v>
      </c>
      <c r="E42" s="2" t="s">
        <v>161</v>
      </c>
      <c r="F42" s="2" t="s">
        <v>26</v>
      </c>
      <c r="G42" s="2" t="s">
        <v>95</v>
      </c>
      <c r="H42" s="2" t="s">
        <v>28</v>
      </c>
      <c r="I42" s="2" t="s">
        <v>162</v>
      </c>
      <c r="J42" s="2">
        <v>5</v>
      </c>
      <c r="K42" s="2">
        <v>14.99</v>
      </c>
      <c r="L42" s="2">
        <f>sorted_analysis!$K42*sorted_analysis!$J42</f>
        <v>74.95</v>
      </c>
      <c r="M42" s="2">
        <v>5</v>
      </c>
      <c r="N42" s="2">
        <f>sorted_analysis!$L42*(sorted_analysis!$M42/100)</f>
        <v>3.7475000000000005</v>
      </c>
      <c r="O42" s="2">
        <f>sorted_analysis!$L42-sorted_analysis!$N42</f>
        <v>71.202500000000001</v>
      </c>
      <c r="P42" s="2">
        <v>4.99</v>
      </c>
      <c r="Q42" s="2">
        <f>SUM(sorted_analysis!$O42+sorted_analysis!$P42)</f>
        <v>76.192499999999995</v>
      </c>
      <c r="R42" s="2" t="str">
        <f>IF(sorted_analysis!$Q42&gt;200,"High Value",IF(sorted_analysis!$Q42&gt;100,"Medium Value","Low Value"))</f>
        <v>Low Value</v>
      </c>
      <c r="S42" s="2" t="s">
        <v>44</v>
      </c>
      <c r="T42" s="2" t="s">
        <v>72</v>
      </c>
    </row>
    <row r="43" spans="1:20" outlineLevel="4" x14ac:dyDescent="0.3">
      <c r="A43" s="10" t="s">
        <v>127</v>
      </c>
      <c r="B43" s="11">
        <v>45347</v>
      </c>
      <c r="C43" s="11" t="str">
        <f>TEXT(sorted_analysis!$B43,"MMMM")</f>
        <v>February</v>
      </c>
      <c r="D43" s="12" t="s">
        <v>128</v>
      </c>
      <c r="E43" s="12" t="s">
        <v>129</v>
      </c>
      <c r="F43" s="12" t="s">
        <v>26</v>
      </c>
      <c r="G43" s="12" t="s">
        <v>53</v>
      </c>
      <c r="H43" s="12" t="s">
        <v>42</v>
      </c>
      <c r="I43" s="12" t="s">
        <v>130</v>
      </c>
      <c r="J43" s="12">
        <v>1</v>
      </c>
      <c r="K43" s="12">
        <v>89.99</v>
      </c>
      <c r="L43" s="12">
        <f>sorted_analysis!$K43*sorted_analysis!$J43</f>
        <v>89.99</v>
      </c>
      <c r="M43" s="12">
        <v>25</v>
      </c>
      <c r="N43" s="12">
        <f>sorted_analysis!$L43*(sorted_analysis!$M43/100)</f>
        <v>22.497499999999999</v>
      </c>
      <c r="O43" s="12">
        <f>sorted_analysis!$L43-sorted_analysis!$N43</f>
        <v>67.492499999999993</v>
      </c>
      <c r="P43" s="12">
        <v>9.99</v>
      </c>
      <c r="Q43" s="12">
        <f>SUM(sorted_analysis!$O43+sorted_analysis!$P43)</f>
        <v>77.482499999999987</v>
      </c>
      <c r="R43" s="12" t="str">
        <f>IF(sorted_analysis!$Q43&gt;200,"High Value",IF(sorted_analysis!$Q43&gt;100,"Medium Value","Low Value"))</f>
        <v>Low Value</v>
      </c>
      <c r="S43" s="12" t="s">
        <v>44</v>
      </c>
      <c r="T43" s="12" t="s">
        <v>22</v>
      </c>
    </row>
    <row r="44" spans="1:20" outlineLevel="4" x14ac:dyDescent="0.3">
      <c r="A44" s="8" t="s">
        <v>110</v>
      </c>
      <c r="B44" s="9">
        <v>45337</v>
      </c>
      <c r="C44" s="9" t="str">
        <f>TEXT(sorted_analysis!$B44,"MMMM")</f>
        <v>February</v>
      </c>
      <c r="D44" s="2" t="s">
        <v>111</v>
      </c>
      <c r="E44" s="2" t="s">
        <v>112</v>
      </c>
      <c r="F44" s="2" t="s">
        <v>26</v>
      </c>
      <c r="G44" s="2" t="s">
        <v>27</v>
      </c>
      <c r="H44" s="2" t="s">
        <v>42</v>
      </c>
      <c r="I44" s="2" t="s">
        <v>113</v>
      </c>
      <c r="J44" s="2">
        <v>2</v>
      </c>
      <c r="K44" s="2">
        <v>44.99</v>
      </c>
      <c r="L44" s="2">
        <f>sorted_analysis!$K44*sorted_analysis!$J44</f>
        <v>89.98</v>
      </c>
      <c r="M44" s="2">
        <v>20</v>
      </c>
      <c r="N44" s="2">
        <f>sorted_analysis!$L44*(sorted_analysis!$M44/100)</f>
        <v>17.996000000000002</v>
      </c>
      <c r="O44" s="2">
        <f>sorted_analysis!$L44-sorted_analysis!$N44</f>
        <v>71.984000000000009</v>
      </c>
      <c r="P44" s="2">
        <v>6.5</v>
      </c>
      <c r="Q44" s="2">
        <f>SUM(sorted_analysis!$O44+sorted_analysis!$P44)</f>
        <v>78.484000000000009</v>
      </c>
      <c r="R44" s="2" t="str">
        <f>IF(sorted_analysis!$Q44&gt;200,"High Value",IF(sorted_analysis!$Q44&gt;100,"Medium Value","Low Value"))</f>
        <v>Low Value</v>
      </c>
      <c r="S44" s="2" t="s">
        <v>44</v>
      </c>
      <c r="T44" s="2" t="s">
        <v>22</v>
      </c>
    </row>
    <row r="45" spans="1:20" outlineLevel="4" x14ac:dyDescent="0.3">
      <c r="A45" s="10" t="s">
        <v>50</v>
      </c>
      <c r="B45" s="11">
        <v>45306</v>
      </c>
      <c r="C45" s="11" t="str">
        <f>TEXT(sorted_analysis!$B45,"MMMM")</f>
        <v>January</v>
      </c>
      <c r="D45" s="12" t="s">
        <v>51</v>
      </c>
      <c r="E45" s="12" t="s">
        <v>52</v>
      </c>
      <c r="F45" s="12" t="s">
        <v>26</v>
      </c>
      <c r="G45" s="12" t="s">
        <v>53</v>
      </c>
      <c r="H45" s="12" t="s">
        <v>28</v>
      </c>
      <c r="I45" s="12" t="s">
        <v>54</v>
      </c>
      <c r="J45" s="12">
        <v>2</v>
      </c>
      <c r="K45" s="12">
        <v>34.99</v>
      </c>
      <c r="L45" s="12">
        <f>sorted_analysis!$K45*sorted_analysis!$J45</f>
        <v>69.98</v>
      </c>
      <c r="M45" s="12">
        <v>0</v>
      </c>
      <c r="N45" s="12">
        <f>sorted_analysis!$L45*(sorted_analysis!$M45/100)</f>
        <v>0</v>
      </c>
      <c r="O45" s="12">
        <f>sorted_analysis!$L45-sorted_analysis!$N45</f>
        <v>69.98</v>
      </c>
      <c r="P45" s="12">
        <v>9.99</v>
      </c>
      <c r="Q45" s="12">
        <f>SUM(sorted_analysis!$O45+sorted_analysis!$P45)</f>
        <v>79.97</v>
      </c>
      <c r="R45" s="12" t="str">
        <f>IF(sorted_analysis!$Q45&gt;200,"High Value",IF(sorted_analysis!$Q45&gt;100,"Medium Value","Low Value"))</f>
        <v>Low Value</v>
      </c>
      <c r="S45" s="12" t="s">
        <v>30</v>
      </c>
      <c r="T45" s="12" t="s">
        <v>22</v>
      </c>
    </row>
    <row r="46" spans="1:20" outlineLevel="4" x14ac:dyDescent="0.3">
      <c r="A46" s="8" t="s">
        <v>73</v>
      </c>
      <c r="B46" s="9">
        <v>45316</v>
      </c>
      <c r="C46" s="9" t="str">
        <f>TEXT(sorted_analysis!$B46,"MMMM")</f>
        <v>January</v>
      </c>
      <c r="D46" s="2" t="s">
        <v>74</v>
      </c>
      <c r="E46" s="2" t="s">
        <v>75</v>
      </c>
      <c r="F46" s="2" t="s">
        <v>26</v>
      </c>
      <c r="G46" s="2" t="s">
        <v>76</v>
      </c>
      <c r="H46" s="2" t="s">
        <v>59</v>
      </c>
      <c r="I46" s="2" t="s">
        <v>77</v>
      </c>
      <c r="J46" s="2">
        <v>2</v>
      </c>
      <c r="K46" s="2">
        <v>39.99</v>
      </c>
      <c r="L46" s="2">
        <f>sorted_analysis!$K46*sorted_analysis!$J46</f>
        <v>79.98</v>
      </c>
      <c r="M46" s="2">
        <v>5</v>
      </c>
      <c r="N46" s="2">
        <f>sorted_analysis!$L46*(sorted_analysis!$M46/100)</f>
        <v>3.9990000000000006</v>
      </c>
      <c r="O46" s="2">
        <f>sorted_analysis!$L46-sorted_analysis!$N46</f>
        <v>75.981000000000009</v>
      </c>
      <c r="P46" s="2">
        <v>4.5</v>
      </c>
      <c r="Q46" s="2">
        <f>SUM(sorted_analysis!$O46+sorted_analysis!$P46)</f>
        <v>80.481000000000009</v>
      </c>
      <c r="R46" s="2" t="str">
        <f>IF(sorted_analysis!$Q46&gt;200,"High Value",IF(sorted_analysis!$Q46&gt;100,"Medium Value","Low Value"))</f>
        <v>Low Value</v>
      </c>
      <c r="S46" s="2" t="s">
        <v>30</v>
      </c>
      <c r="T46" s="2" t="s">
        <v>22</v>
      </c>
    </row>
    <row r="47" spans="1:20" outlineLevel="4" x14ac:dyDescent="0.3">
      <c r="A47" s="10" t="s">
        <v>271</v>
      </c>
      <c r="B47" s="11">
        <v>45437</v>
      </c>
      <c r="C47" s="11" t="str">
        <f>TEXT(sorted_analysis!$B47,"MMMM")</f>
        <v>May</v>
      </c>
      <c r="D47" s="12" t="s">
        <v>272</v>
      </c>
      <c r="E47" s="12" t="s">
        <v>273</v>
      </c>
      <c r="F47" s="12" t="s">
        <v>26</v>
      </c>
      <c r="G47" s="12" t="s">
        <v>76</v>
      </c>
      <c r="H47" s="12" t="s">
        <v>42</v>
      </c>
      <c r="I47" s="12" t="s">
        <v>274</v>
      </c>
      <c r="J47" s="12">
        <v>2</v>
      </c>
      <c r="K47" s="12">
        <v>49.99</v>
      </c>
      <c r="L47" s="12">
        <f>sorted_analysis!$K47*sorted_analysis!$J47</f>
        <v>99.98</v>
      </c>
      <c r="M47" s="12">
        <v>25</v>
      </c>
      <c r="N47" s="12">
        <f>sorted_analysis!$L47*(sorted_analysis!$M47/100)</f>
        <v>24.995000000000001</v>
      </c>
      <c r="O47" s="12">
        <f>sorted_analysis!$L47-sorted_analysis!$N47</f>
        <v>74.984999999999999</v>
      </c>
      <c r="P47" s="12">
        <v>7.5</v>
      </c>
      <c r="Q47" s="12">
        <f>SUM(sorted_analysis!$O47+sorted_analysis!$P47)</f>
        <v>82.484999999999999</v>
      </c>
      <c r="R47" s="12" t="str">
        <f>IF(sorted_analysis!$Q47&gt;200,"High Value",IF(sorted_analysis!$Q47&gt;100,"Medium Value","Low Value"))</f>
        <v>Low Value</v>
      </c>
      <c r="S47" s="12" t="s">
        <v>44</v>
      </c>
      <c r="T47" s="12" t="s">
        <v>22</v>
      </c>
    </row>
    <row r="48" spans="1:20" outlineLevel="4" x14ac:dyDescent="0.3">
      <c r="A48" s="8" t="s">
        <v>191</v>
      </c>
      <c r="B48" s="9">
        <v>45387</v>
      </c>
      <c r="C48" s="9" t="str">
        <f>TEXT(sorted_analysis!$B48,"MMMM")</f>
        <v>April</v>
      </c>
      <c r="D48" s="2" t="s">
        <v>192</v>
      </c>
      <c r="E48" s="2" t="s">
        <v>193</v>
      </c>
      <c r="F48" s="2" t="s">
        <v>26</v>
      </c>
      <c r="G48" s="2" t="s">
        <v>53</v>
      </c>
      <c r="H48" s="2" t="s">
        <v>19</v>
      </c>
      <c r="I48" s="2" t="s">
        <v>194</v>
      </c>
      <c r="J48" s="2">
        <v>3</v>
      </c>
      <c r="K48" s="2">
        <v>29.99</v>
      </c>
      <c r="L48" s="2">
        <f>sorted_analysis!$K48*sorted_analysis!$J48</f>
        <v>89.97</v>
      </c>
      <c r="M48" s="2">
        <v>0</v>
      </c>
      <c r="N48" s="2">
        <f>sorted_analysis!$L48*(sorted_analysis!$M48/100)</f>
        <v>0</v>
      </c>
      <c r="O48" s="2">
        <f>sorted_analysis!$L48-sorted_analysis!$N48</f>
        <v>89.97</v>
      </c>
      <c r="P48" s="2">
        <v>5.99</v>
      </c>
      <c r="Q48" s="2">
        <f>SUM(sorted_analysis!$O48+sorted_analysis!$P48)</f>
        <v>95.96</v>
      </c>
      <c r="R48" s="2" t="str">
        <f>IF(sorted_analysis!$Q48&gt;200,"High Value",IF(sorted_analysis!$Q48&gt;100,"Medium Value","Low Value"))</f>
        <v>Low Value</v>
      </c>
      <c r="S48" s="2" t="s">
        <v>30</v>
      </c>
      <c r="T48" s="2" t="s">
        <v>22</v>
      </c>
    </row>
    <row r="49" spans="1:20" outlineLevel="4" x14ac:dyDescent="0.3">
      <c r="A49" s="10" t="s">
        <v>383</v>
      </c>
      <c r="B49" s="11">
        <v>45509</v>
      </c>
      <c r="C49" s="11" t="str">
        <f>TEXT(sorted_analysis!$B49,"MMMM")</f>
        <v>August</v>
      </c>
      <c r="D49" s="12" t="s">
        <v>384</v>
      </c>
      <c r="E49" s="12" t="s">
        <v>385</v>
      </c>
      <c r="F49" s="12" t="s">
        <v>26</v>
      </c>
      <c r="G49" s="12" t="s">
        <v>53</v>
      </c>
      <c r="H49" s="12" t="s">
        <v>19</v>
      </c>
      <c r="I49" s="12" t="s">
        <v>386</v>
      </c>
      <c r="J49" s="12">
        <v>2</v>
      </c>
      <c r="K49" s="12">
        <v>49.99</v>
      </c>
      <c r="L49" s="12">
        <f>sorted_analysis!$K49*sorted_analysis!$J49</f>
        <v>99.98</v>
      </c>
      <c r="M49" s="12">
        <v>5</v>
      </c>
      <c r="N49" s="12">
        <f>sorted_analysis!$L49*(sorted_analysis!$M49/100)</f>
        <v>4.9990000000000006</v>
      </c>
      <c r="O49" s="12">
        <f>sorted_analysis!$L49-sorted_analysis!$N49</f>
        <v>94.981000000000009</v>
      </c>
      <c r="P49" s="12">
        <v>7.5</v>
      </c>
      <c r="Q49" s="12">
        <f>SUM(sorted_analysis!$O49+sorted_analysis!$P49)</f>
        <v>102.48100000000001</v>
      </c>
      <c r="R49" s="12" t="str">
        <f>IF(sorted_analysis!$Q49&gt;200,"High Value",IF(sorted_analysis!$Q49&gt;100,"Medium Value","Low Value"))</f>
        <v>Medium Value</v>
      </c>
      <c r="S49" s="12" t="s">
        <v>44</v>
      </c>
      <c r="T49" s="12" t="s">
        <v>22</v>
      </c>
    </row>
    <row r="50" spans="1:20" outlineLevel="4" x14ac:dyDescent="0.3">
      <c r="A50" s="8" t="s">
        <v>175</v>
      </c>
      <c r="B50" s="9">
        <v>45376</v>
      </c>
      <c r="C50" s="9" t="str">
        <f>TEXT(sorted_analysis!$B50,"MMMM")</f>
        <v>March</v>
      </c>
      <c r="D50" s="2" t="s">
        <v>176</v>
      </c>
      <c r="E50" s="2" t="s">
        <v>177</v>
      </c>
      <c r="F50" s="2" t="s">
        <v>26</v>
      </c>
      <c r="G50" s="2" t="s">
        <v>27</v>
      </c>
      <c r="H50" s="2" t="s">
        <v>28</v>
      </c>
      <c r="I50" s="2" t="s">
        <v>178</v>
      </c>
      <c r="J50" s="2">
        <v>2</v>
      </c>
      <c r="K50" s="2">
        <v>59.99</v>
      </c>
      <c r="L50" s="2">
        <f>sorted_analysis!$K50*sorted_analysis!$J50</f>
        <v>119.98</v>
      </c>
      <c r="M50" s="2">
        <v>15</v>
      </c>
      <c r="N50" s="2">
        <f>sorted_analysis!$L50*(sorted_analysis!$M50/100)</f>
        <v>17.997</v>
      </c>
      <c r="O50" s="2">
        <f>sorted_analysis!$L50-sorted_analysis!$N50</f>
        <v>101.983</v>
      </c>
      <c r="P50" s="2">
        <v>7.99</v>
      </c>
      <c r="Q50" s="2">
        <f>SUM(sorted_analysis!$O50+sorted_analysis!$P50)</f>
        <v>109.973</v>
      </c>
      <c r="R50" s="2" t="str">
        <f>IF(sorted_analysis!$Q50&gt;200,"High Value",IF(sorted_analysis!$Q50&gt;100,"Medium Value","Low Value"))</f>
        <v>Medium Value</v>
      </c>
      <c r="S50" s="2" t="s">
        <v>21</v>
      </c>
      <c r="T50" s="2" t="s">
        <v>22</v>
      </c>
    </row>
    <row r="51" spans="1:20" outlineLevel="4" x14ac:dyDescent="0.3">
      <c r="A51" s="10" t="s">
        <v>239</v>
      </c>
      <c r="B51" s="11">
        <v>45417</v>
      </c>
      <c r="C51" s="11" t="str">
        <f>TEXT(sorted_analysis!$B51,"MMMM")</f>
        <v>May</v>
      </c>
      <c r="D51" s="12" t="s">
        <v>240</v>
      </c>
      <c r="E51" s="12" t="s">
        <v>241</v>
      </c>
      <c r="F51" s="12" t="s">
        <v>26</v>
      </c>
      <c r="G51" s="12" t="s">
        <v>27</v>
      </c>
      <c r="H51" s="12" t="s">
        <v>19</v>
      </c>
      <c r="I51" s="12" t="s">
        <v>242</v>
      </c>
      <c r="J51" s="12">
        <v>3</v>
      </c>
      <c r="K51" s="12">
        <v>39.99</v>
      </c>
      <c r="L51" s="12">
        <f>sorted_analysis!$K51*sorted_analysis!$J51</f>
        <v>119.97</v>
      </c>
      <c r="M51" s="12">
        <v>5</v>
      </c>
      <c r="N51" s="12">
        <f>sorted_analysis!$L51*(sorted_analysis!$M51/100)</f>
        <v>5.9984999999999999</v>
      </c>
      <c r="O51" s="12">
        <f>sorted_analysis!$L51-sorted_analysis!$N51</f>
        <v>113.97149999999999</v>
      </c>
      <c r="P51" s="12">
        <v>7.5</v>
      </c>
      <c r="Q51" s="12">
        <f>SUM(sorted_analysis!$O51+sorted_analysis!$P51)</f>
        <v>121.47149999999999</v>
      </c>
      <c r="R51" s="12" t="str">
        <f>IF(sorted_analysis!$Q51&gt;200,"High Value",IF(sorted_analysis!$Q51&gt;100,"Medium Value","Low Value"))</f>
        <v>Medium Value</v>
      </c>
      <c r="S51" s="12" t="s">
        <v>21</v>
      </c>
      <c r="T51" s="12" t="s">
        <v>61</v>
      </c>
    </row>
    <row r="52" spans="1:20" outlineLevel="4" x14ac:dyDescent="0.3">
      <c r="A52" s="8" t="s">
        <v>92</v>
      </c>
      <c r="B52" s="9">
        <v>45327</v>
      </c>
      <c r="C52" s="9" t="str">
        <f>TEXT(sorted_analysis!$B52,"MMMM")</f>
        <v>February</v>
      </c>
      <c r="D52" s="2" t="s">
        <v>93</v>
      </c>
      <c r="E52" s="2" t="s">
        <v>94</v>
      </c>
      <c r="F52" s="2" t="s">
        <v>26</v>
      </c>
      <c r="G52" s="2" t="s">
        <v>95</v>
      </c>
      <c r="H52" s="2" t="s">
        <v>19</v>
      </c>
      <c r="I52" s="2" t="s">
        <v>96</v>
      </c>
      <c r="J52" s="2">
        <v>2</v>
      </c>
      <c r="K52" s="2">
        <v>69.989999999999995</v>
      </c>
      <c r="L52" s="2">
        <f>sorted_analysis!$K52*sorted_analysis!$J52</f>
        <v>139.97999999999999</v>
      </c>
      <c r="M52" s="2">
        <v>10</v>
      </c>
      <c r="N52" s="2">
        <f>sorted_analysis!$L52*(sorted_analysis!$M52/100)</f>
        <v>13.997999999999999</v>
      </c>
      <c r="O52" s="2">
        <f>sorted_analysis!$L52-sorted_analysis!$N52</f>
        <v>125.98199999999999</v>
      </c>
      <c r="P52" s="2">
        <v>6.99</v>
      </c>
      <c r="Q52" s="2">
        <f>SUM(sorted_analysis!$O52+sorted_analysis!$P52)</f>
        <v>132.97199999999998</v>
      </c>
      <c r="R52" s="2" t="str">
        <f>IF(sorted_analysis!$Q52&gt;200,"High Value",IF(sorted_analysis!$Q52&gt;100,"Medium Value","Low Value"))</f>
        <v>Medium Value</v>
      </c>
      <c r="S52" s="2" t="s">
        <v>44</v>
      </c>
      <c r="T52" s="2" t="s">
        <v>22</v>
      </c>
    </row>
    <row r="53" spans="1:20" outlineLevel="4" x14ac:dyDescent="0.3">
      <c r="A53" s="10" t="s">
        <v>319</v>
      </c>
      <c r="B53" s="11">
        <v>45468</v>
      </c>
      <c r="C53" s="11" t="str">
        <f>TEXT(sorted_analysis!$B53,"MMMM")</f>
        <v>June</v>
      </c>
      <c r="D53" s="12" t="s">
        <v>320</v>
      </c>
      <c r="E53" s="12" t="s">
        <v>321</v>
      </c>
      <c r="F53" s="12" t="s">
        <v>26</v>
      </c>
      <c r="G53" s="12" t="s">
        <v>53</v>
      </c>
      <c r="H53" s="12" t="s">
        <v>28</v>
      </c>
      <c r="I53" s="12" t="s">
        <v>322</v>
      </c>
      <c r="J53" s="12">
        <v>2</v>
      </c>
      <c r="K53" s="12">
        <v>74.989999999999995</v>
      </c>
      <c r="L53" s="12">
        <f>sorted_analysis!$K53*sorted_analysis!$J53</f>
        <v>149.97999999999999</v>
      </c>
      <c r="M53" s="12">
        <v>10</v>
      </c>
      <c r="N53" s="12">
        <f>sorted_analysis!$L53*(sorted_analysis!$M53/100)</f>
        <v>14.997999999999999</v>
      </c>
      <c r="O53" s="12">
        <f>sorted_analysis!$L53-sorted_analysis!$N53</f>
        <v>134.982</v>
      </c>
      <c r="P53" s="12">
        <v>10.99</v>
      </c>
      <c r="Q53" s="12">
        <f>SUM(sorted_analysis!$O53+sorted_analysis!$P53)</f>
        <v>145.97200000000001</v>
      </c>
      <c r="R53" s="12" t="str">
        <f>IF(sorted_analysis!$Q53&gt;200,"High Value",IF(sorted_analysis!$Q53&gt;100,"Medium Value","Low Value"))</f>
        <v>Medium Value</v>
      </c>
      <c r="S53" s="12" t="s">
        <v>30</v>
      </c>
      <c r="T53" s="12" t="s">
        <v>22</v>
      </c>
    </row>
    <row r="54" spans="1:20" outlineLevel="4" x14ac:dyDescent="0.3">
      <c r="A54" s="8" t="s">
        <v>431</v>
      </c>
      <c r="B54" s="9">
        <v>45540</v>
      </c>
      <c r="C54" s="9" t="str">
        <f>TEXT(sorted_analysis!$B54,"MMMM")</f>
        <v>September</v>
      </c>
      <c r="D54" s="2" t="s">
        <v>432</v>
      </c>
      <c r="E54" s="2" t="s">
        <v>433</v>
      </c>
      <c r="F54" s="2" t="s">
        <v>26</v>
      </c>
      <c r="G54" s="2" t="s">
        <v>27</v>
      </c>
      <c r="H54" s="2" t="s">
        <v>19</v>
      </c>
      <c r="I54" s="2" t="s">
        <v>434</v>
      </c>
      <c r="J54" s="2">
        <v>1</v>
      </c>
      <c r="K54" s="2">
        <v>249.99</v>
      </c>
      <c r="L54" s="2">
        <f>sorted_analysis!$K54*sorted_analysis!$J54</f>
        <v>249.99</v>
      </c>
      <c r="M54" s="2">
        <v>15</v>
      </c>
      <c r="N54" s="2">
        <f>sorted_analysis!$L54*(sorted_analysis!$M54/100)</f>
        <v>37.4985</v>
      </c>
      <c r="O54" s="2">
        <f>sorted_analysis!$L54-sorted_analysis!$N54</f>
        <v>212.4915</v>
      </c>
      <c r="P54" s="2">
        <v>14.99</v>
      </c>
      <c r="Q54" s="2">
        <f>SUM(sorted_analysis!$O54+sorted_analysis!$P54)</f>
        <v>227.48150000000001</v>
      </c>
      <c r="R54" s="2" t="str">
        <f>IF(sorted_analysis!$Q54&gt;200,"High Value",IF(sorted_analysis!$Q54&gt;100,"Medium Value","Low Value"))</f>
        <v>High Value</v>
      </c>
      <c r="S54" s="2" t="s">
        <v>30</v>
      </c>
      <c r="T54" s="2" t="s">
        <v>22</v>
      </c>
    </row>
    <row r="55" spans="1:20" s="13" customFormat="1" outlineLevel="3" x14ac:dyDescent="0.3">
      <c r="A55" s="21"/>
      <c r="B55" s="22"/>
      <c r="C55" s="22"/>
      <c r="D55" s="23"/>
      <c r="E55" s="23"/>
      <c r="F55" s="24" t="s">
        <v>461</v>
      </c>
      <c r="G55" s="23"/>
      <c r="H55" s="23"/>
      <c r="I55" s="23"/>
      <c r="J55" s="23"/>
      <c r="K55" s="23"/>
      <c r="L55" s="23"/>
      <c r="M55" s="23"/>
      <c r="N55" s="23"/>
      <c r="O55" s="23"/>
      <c r="P55" s="23"/>
      <c r="Q55" s="23">
        <f>SUBTOTAL(3,Q30:Q54)</f>
        <v>25</v>
      </c>
      <c r="R55" s="23"/>
      <c r="S55" s="23"/>
      <c r="T55" s="23"/>
    </row>
    <row r="56" spans="1:20" s="13" customFormat="1" outlineLevel="2" x14ac:dyDescent="0.3">
      <c r="A56" s="21"/>
      <c r="B56" s="22"/>
      <c r="C56" s="22"/>
      <c r="D56" s="23"/>
      <c r="E56" s="23"/>
      <c r="F56" s="24" t="s">
        <v>452</v>
      </c>
      <c r="G56" s="23"/>
      <c r="H56" s="23"/>
      <c r="I56" s="23"/>
      <c r="J56" s="23"/>
      <c r="K56" s="23"/>
      <c r="L56" s="23"/>
      <c r="M56" s="23"/>
      <c r="N56" s="23"/>
      <c r="O56" s="23"/>
      <c r="P56" s="23"/>
      <c r="Q56" s="23">
        <f>SUBTOTAL(9,Q30:Q54)</f>
        <v>2124.1659999999997</v>
      </c>
      <c r="R56" s="23"/>
      <c r="S56" s="23"/>
      <c r="T56" s="23"/>
    </row>
    <row r="57" spans="1:20" s="13" customFormat="1" outlineLevel="1" x14ac:dyDescent="0.3">
      <c r="A57" s="21"/>
      <c r="B57" s="22"/>
      <c r="C57" s="22"/>
      <c r="D57" s="23"/>
      <c r="E57" s="23"/>
      <c r="F57" s="24" t="s">
        <v>456</v>
      </c>
      <c r="G57" s="23"/>
      <c r="H57" s="23"/>
      <c r="I57" s="23"/>
      <c r="J57" s="23"/>
      <c r="K57" s="23"/>
      <c r="L57" s="23"/>
      <c r="M57" s="23"/>
      <c r="N57" s="23"/>
      <c r="O57" s="23"/>
      <c r="P57" s="23"/>
      <c r="Q57" s="23">
        <f>SUBTOTAL(1,Q30:Q54)</f>
        <v>84.966639999999984</v>
      </c>
      <c r="R57" s="23"/>
      <c r="S57" s="23"/>
      <c r="T57" s="23"/>
    </row>
    <row r="58" spans="1:20" outlineLevel="4" x14ac:dyDescent="0.3">
      <c r="A58" s="10" t="s">
        <v>387</v>
      </c>
      <c r="B58" s="11">
        <v>45512</v>
      </c>
      <c r="C58" s="11" t="str">
        <f>TEXT(sorted_analysis!$B58,"MMMM")</f>
        <v>August</v>
      </c>
      <c r="D58" s="12" t="s">
        <v>388</v>
      </c>
      <c r="E58" s="12" t="s">
        <v>389</v>
      </c>
      <c r="F58" s="12" t="s">
        <v>34</v>
      </c>
      <c r="G58" s="12" t="s">
        <v>35</v>
      </c>
      <c r="H58" s="12" t="s">
        <v>59</v>
      </c>
      <c r="I58" s="12" t="s">
        <v>390</v>
      </c>
      <c r="J58" s="12">
        <v>1</v>
      </c>
      <c r="K58" s="12">
        <v>29.99</v>
      </c>
      <c r="L58" s="12">
        <f>sorted_analysis!$K58*sorted_analysis!$J58</f>
        <v>29.99</v>
      </c>
      <c r="M58" s="12">
        <v>0</v>
      </c>
      <c r="N58" s="12">
        <f>sorted_analysis!$L58*(sorted_analysis!$M58/100)</f>
        <v>0</v>
      </c>
      <c r="O58" s="12">
        <f>sorted_analysis!$L58-sorted_analysis!$N58</f>
        <v>29.99</v>
      </c>
      <c r="P58" s="12">
        <v>3.99</v>
      </c>
      <c r="Q58" s="12">
        <f>SUM(sorted_analysis!$O58+sorted_analysis!$P58)</f>
        <v>33.979999999999997</v>
      </c>
      <c r="R58" s="12" t="str">
        <f>IF(sorted_analysis!$Q58&gt;200,"High Value",IF(sorted_analysis!$Q58&gt;100,"Medium Value","Low Value"))</f>
        <v>Low Value</v>
      </c>
      <c r="S58" s="12" t="s">
        <v>30</v>
      </c>
      <c r="T58" s="12" t="s">
        <v>22</v>
      </c>
    </row>
    <row r="59" spans="1:20" outlineLevel="4" x14ac:dyDescent="0.3">
      <c r="A59" s="8" t="s">
        <v>227</v>
      </c>
      <c r="B59" s="9">
        <v>45410</v>
      </c>
      <c r="C59" s="9" t="str">
        <f>TEXT(sorted_analysis!$B59,"MMMM")</f>
        <v>April</v>
      </c>
      <c r="D59" s="2" t="s">
        <v>228</v>
      </c>
      <c r="E59" s="2" t="s">
        <v>229</v>
      </c>
      <c r="F59" s="2" t="s">
        <v>34</v>
      </c>
      <c r="G59" s="2" t="s">
        <v>18</v>
      </c>
      <c r="H59" s="2" t="s">
        <v>19</v>
      </c>
      <c r="I59" s="2" t="s">
        <v>230</v>
      </c>
      <c r="J59" s="2">
        <v>1</v>
      </c>
      <c r="K59" s="2">
        <v>34.99</v>
      </c>
      <c r="L59" s="2">
        <f>sorted_analysis!$K59*sorted_analysis!$J59</f>
        <v>34.99</v>
      </c>
      <c r="M59" s="2">
        <v>0</v>
      </c>
      <c r="N59" s="2">
        <f>sorted_analysis!$L59*(sorted_analysis!$M59/100)</f>
        <v>0</v>
      </c>
      <c r="O59" s="2">
        <f>sorted_analysis!$L59-sorted_analysis!$N59</f>
        <v>34.99</v>
      </c>
      <c r="P59" s="2">
        <v>4.5</v>
      </c>
      <c r="Q59" s="2">
        <f>SUM(sorted_analysis!$O59+sorted_analysis!$P59)</f>
        <v>39.49</v>
      </c>
      <c r="R59" s="2" t="str">
        <f>IF(sorted_analysis!$Q59&gt;200,"High Value",IF(sorted_analysis!$Q59&gt;100,"Medium Value","Low Value"))</f>
        <v>Low Value</v>
      </c>
      <c r="S59" s="2" t="s">
        <v>44</v>
      </c>
      <c r="T59" s="2" t="s">
        <v>22</v>
      </c>
    </row>
    <row r="60" spans="1:20" outlineLevel="4" x14ac:dyDescent="0.3">
      <c r="A60" s="10" t="s">
        <v>243</v>
      </c>
      <c r="B60" s="11">
        <v>45420</v>
      </c>
      <c r="C60" s="11" t="str">
        <f>TEXT(sorted_analysis!$B60,"MMMM")</f>
        <v>May</v>
      </c>
      <c r="D60" s="12" t="s">
        <v>244</v>
      </c>
      <c r="E60" s="12" t="s">
        <v>245</v>
      </c>
      <c r="F60" s="12" t="s">
        <v>34</v>
      </c>
      <c r="G60" s="12" t="s">
        <v>35</v>
      </c>
      <c r="H60" s="12" t="s">
        <v>59</v>
      </c>
      <c r="I60" s="12" t="s">
        <v>246</v>
      </c>
      <c r="J60" s="12">
        <v>1</v>
      </c>
      <c r="K60" s="12">
        <v>39.99</v>
      </c>
      <c r="L60" s="12">
        <f>sorted_analysis!$K60*sorted_analysis!$J60</f>
        <v>39.99</v>
      </c>
      <c r="M60" s="12">
        <v>0</v>
      </c>
      <c r="N60" s="12">
        <f>sorted_analysis!$L60*(sorted_analysis!$M60/100)</f>
        <v>0</v>
      </c>
      <c r="O60" s="12">
        <f>sorted_analysis!$L60-sorted_analysis!$N60</f>
        <v>39.99</v>
      </c>
      <c r="P60" s="12">
        <v>3.99</v>
      </c>
      <c r="Q60" s="12">
        <f>SUM(sorted_analysis!$O60+sorted_analysis!$P60)</f>
        <v>43.980000000000004</v>
      </c>
      <c r="R60" s="12" t="str">
        <f>IF(sorted_analysis!$Q60&gt;200,"High Value",IF(sorted_analysis!$Q60&gt;100,"Medium Value","Low Value"))</f>
        <v>Low Value</v>
      </c>
      <c r="S60" s="12" t="s">
        <v>44</v>
      </c>
      <c r="T60" s="12" t="s">
        <v>22</v>
      </c>
    </row>
    <row r="61" spans="1:20" outlineLevel="4" x14ac:dyDescent="0.3">
      <c r="A61" s="8" t="s">
        <v>403</v>
      </c>
      <c r="B61" s="9">
        <v>45522</v>
      </c>
      <c r="C61" s="9" t="str">
        <f>TEXT(sorted_analysis!$B61,"MMMM")</f>
        <v>August</v>
      </c>
      <c r="D61" s="2" t="s">
        <v>404</v>
      </c>
      <c r="E61" s="2" t="s">
        <v>405</v>
      </c>
      <c r="F61" s="2" t="s">
        <v>34</v>
      </c>
      <c r="G61" s="2" t="s">
        <v>58</v>
      </c>
      <c r="H61" s="2" t="s">
        <v>59</v>
      </c>
      <c r="I61" s="2" t="s">
        <v>406</v>
      </c>
      <c r="J61" s="2">
        <v>1</v>
      </c>
      <c r="K61" s="2">
        <v>39.99</v>
      </c>
      <c r="L61" s="2">
        <f>sorted_analysis!$K61*sorted_analysis!$J61</f>
        <v>39.99</v>
      </c>
      <c r="M61" s="2">
        <v>0</v>
      </c>
      <c r="N61" s="2">
        <f>sorted_analysis!$L61*(sorted_analysis!$M61/100)</f>
        <v>0</v>
      </c>
      <c r="O61" s="2">
        <f>sorted_analysis!$L61-sorted_analysis!$N61</f>
        <v>39.99</v>
      </c>
      <c r="P61" s="2">
        <v>4.5</v>
      </c>
      <c r="Q61" s="2">
        <f>SUM(sorted_analysis!$O61+sorted_analysis!$P61)</f>
        <v>44.49</v>
      </c>
      <c r="R61" s="2" t="str">
        <f>IF(sorted_analysis!$Q61&gt;200,"High Value",IF(sorted_analysis!$Q61&gt;100,"Medium Value","Low Value"))</f>
        <v>Low Value</v>
      </c>
      <c r="S61" s="2" t="s">
        <v>30</v>
      </c>
      <c r="T61" s="2" t="s">
        <v>22</v>
      </c>
    </row>
    <row r="62" spans="1:20" outlineLevel="4" x14ac:dyDescent="0.3">
      <c r="A62" s="10" t="s">
        <v>114</v>
      </c>
      <c r="B62" s="11">
        <v>45340</v>
      </c>
      <c r="C62" s="11" t="str">
        <f>TEXT(sorted_analysis!$B62,"MMMM")</f>
        <v>February</v>
      </c>
      <c r="D62" s="12" t="s">
        <v>115</v>
      </c>
      <c r="E62" s="12" t="s">
        <v>116</v>
      </c>
      <c r="F62" s="12" t="s">
        <v>34</v>
      </c>
      <c r="G62" s="12" t="s">
        <v>58</v>
      </c>
      <c r="H62" s="12" t="s">
        <v>59</v>
      </c>
      <c r="I62" s="12" t="s">
        <v>117</v>
      </c>
      <c r="J62" s="12">
        <v>1</v>
      </c>
      <c r="K62" s="12">
        <v>42.99</v>
      </c>
      <c r="L62" s="12">
        <f>sorted_analysis!$K62*sorted_analysis!$J62</f>
        <v>42.99</v>
      </c>
      <c r="M62" s="12">
        <v>0</v>
      </c>
      <c r="N62" s="12">
        <f>sorted_analysis!$L62*(sorted_analysis!$M62/100)</f>
        <v>0</v>
      </c>
      <c r="O62" s="12">
        <f>sorted_analysis!$L62-sorted_analysis!$N62</f>
        <v>42.99</v>
      </c>
      <c r="P62" s="12">
        <v>3.99</v>
      </c>
      <c r="Q62" s="12">
        <f>SUM(sorted_analysis!$O62+sorted_analysis!$P62)</f>
        <v>46.980000000000004</v>
      </c>
      <c r="R62" s="12" t="str">
        <f>IF(sorted_analysis!$Q62&gt;200,"High Value",IF(sorted_analysis!$Q62&gt;100,"Medium Value","Low Value"))</f>
        <v>Low Value</v>
      </c>
      <c r="S62" s="12" t="s">
        <v>21</v>
      </c>
      <c r="T62" s="12" t="s">
        <v>22</v>
      </c>
    </row>
    <row r="63" spans="1:20" outlineLevel="4" x14ac:dyDescent="0.3">
      <c r="A63" s="8" t="s">
        <v>55</v>
      </c>
      <c r="B63" s="9">
        <v>45309</v>
      </c>
      <c r="C63" s="9" t="str">
        <f>TEXT(sorted_analysis!$B63,"MMMM")</f>
        <v>January</v>
      </c>
      <c r="D63" s="2" t="s">
        <v>56</v>
      </c>
      <c r="E63" s="2" t="s">
        <v>57</v>
      </c>
      <c r="F63" s="2" t="s">
        <v>34</v>
      </c>
      <c r="G63" s="2" t="s">
        <v>58</v>
      </c>
      <c r="H63" s="2" t="s">
        <v>59</v>
      </c>
      <c r="I63" s="2" t="s">
        <v>60</v>
      </c>
      <c r="J63" s="2">
        <v>1</v>
      </c>
      <c r="K63" s="2">
        <v>54.99</v>
      </c>
      <c r="L63" s="2">
        <f>sorted_analysis!$K63*sorted_analysis!$J63</f>
        <v>54.99</v>
      </c>
      <c r="M63" s="2">
        <v>10</v>
      </c>
      <c r="N63" s="2">
        <f>sorted_analysis!$L63*(sorted_analysis!$M63/100)</f>
        <v>5.4990000000000006</v>
      </c>
      <c r="O63" s="2">
        <f>sorted_analysis!$L63-sorted_analysis!$N63</f>
        <v>49.491</v>
      </c>
      <c r="P63" s="2">
        <v>3.99</v>
      </c>
      <c r="Q63" s="2">
        <f>SUM(sorted_analysis!$O63+sorted_analysis!$P63)</f>
        <v>53.481000000000002</v>
      </c>
      <c r="R63" s="2" t="str">
        <f>IF(sorted_analysis!$Q63&gt;200,"High Value",IF(sorted_analysis!$Q63&gt;100,"Medium Value","Low Value"))</f>
        <v>Low Value</v>
      </c>
      <c r="S63" s="2" t="s">
        <v>21</v>
      </c>
      <c r="T63" s="2" t="s">
        <v>61</v>
      </c>
    </row>
    <row r="64" spans="1:20" outlineLevel="4" x14ac:dyDescent="0.3">
      <c r="A64" s="10" t="s">
        <v>78</v>
      </c>
      <c r="B64" s="11">
        <v>45319</v>
      </c>
      <c r="C64" s="11" t="str">
        <f>TEXT(sorted_analysis!$B64,"MMMM")</f>
        <v>January</v>
      </c>
      <c r="D64" s="12" t="s">
        <v>79</v>
      </c>
      <c r="E64" s="12" t="s">
        <v>80</v>
      </c>
      <c r="F64" s="12" t="s">
        <v>34</v>
      </c>
      <c r="G64" s="12" t="s">
        <v>18</v>
      </c>
      <c r="H64" s="12" t="s">
        <v>19</v>
      </c>
      <c r="I64" s="12" t="s">
        <v>81</v>
      </c>
      <c r="J64" s="12">
        <v>1</v>
      </c>
      <c r="K64" s="12">
        <v>49.99</v>
      </c>
      <c r="L64" s="12">
        <f>sorted_analysis!$K64*sorted_analysis!$J64</f>
        <v>49.99</v>
      </c>
      <c r="M64" s="12">
        <v>10</v>
      </c>
      <c r="N64" s="12">
        <f>sorted_analysis!$L64*(sorted_analysis!$M64/100)</f>
        <v>4.9990000000000006</v>
      </c>
      <c r="O64" s="12">
        <f>sorted_analysis!$L64-sorted_analysis!$N64</f>
        <v>44.991</v>
      </c>
      <c r="P64" s="12">
        <v>8.5</v>
      </c>
      <c r="Q64" s="12">
        <f>SUM(sorted_analysis!$O64+sorted_analysis!$P64)</f>
        <v>53.491</v>
      </c>
      <c r="R64" s="12" t="str">
        <f>IF(sorted_analysis!$Q64&gt;200,"High Value",IF(sorted_analysis!$Q64&gt;100,"Medium Value","Low Value"))</f>
        <v>Low Value</v>
      </c>
      <c r="S64" s="12" t="s">
        <v>21</v>
      </c>
      <c r="T64" s="12" t="s">
        <v>22</v>
      </c>
    </row>
    <row r="65" spans="1:20" outlineLevel="4" x14ac:dyDescent="0.3">
      <c r="A65" s="8" t="s">
        <v>31</v>
      </c>
      <c r="B65" s="9">
        <v>45299</v>
      </c>
      <c r="C65" s="9" t="str">
        <f>TEXT(sorted_analysis!$B65,"MMMM")</f>
        <v>January</v>
      </c>
      <c r="D65" s="2" t="s">
        <v>32</v>
      </c>
      <c r="E65" s="2" t="s">
        <v>33</v>
      </c>
      <c r="F65" s="2" t="s">
        <v>34</v>
      </c>
      <c r="G65" s="2" t="s">
        <v>35</v>
      </c>
      <c r="H65" s="2" t="s">
        <v>19</v>
      </c>
      <c r="I65" s="2" t="s">
        <v>36</v>
      </c>
      <c r="J65" s="2">
        <v>5</v>
      </c>
      <c r="K65" s="2">
        <v>12.99</v>
      </c>
      <c r="L65" s="2">
        <f>sorted_analysis!$K65*sorted_analysis!$J65</f>
        <v>64.95</v>
      </c>
      <c r="M65" s="2">
        <v>15</v>
      </c>
      <c r="N65" s="2">
        <f>sorted_analysis!$L65*(sorted_analysis!$M65/100)</f>
        <v>9.7424999999999997</v>
      </c>
      <c r="O65" s="2">
        <f>sorted_analysis!$L65-sorted_analysis!$N65</f>
        <v>55.207500000000003</v>
      </c>
      <c r="P65" s="2">
        <v>4.99</v>
      </c>
      <c r="Q65" s="2">
        <f>SUM(sorted_analysis!$O65+sorted_analysis!$P65)</f>
        <v>60.197500000000005</v>
      </c>
      <c r="R65" s="2" t="str">
        <f>IF(sorted_analysis!$Q65&gt;200,"High Value",IF(sorted_analysis!$Q65&gt;100,"Medium Value","Low Value"))</f>
        <v>Low Value</v>
      </c>
      <c r="S65" s="2" t="s">
        <v>21</v>
      </c>
      <c r="T65" s="2" t="s">
        <v>22</v>
      </c>
    </row>
    <row r="66" spans="1:20" outlineLevel="4" x14ac:dyDescent="0.3">
      <c r="A66" s="10" t="s">
        <v>97</v>
      </c>
      <c r="B66" s="11">
        <v>45330</v>
      </c>
      <c r="C66" s="11" t="str">
        <f>TEXT(sorted_analysis!$B66,"MMMM")</f>
        <v>February</v>
      </c>
      <c r="D66" s="12" t="s">
        <v>98</v>
      </c>
      <c r="E66" s="12" t="s">
        <v>99</v>
      </c>
      <c r="F66" s="12" t="s">
        <v>34</v>
      </c>
      <c r="G66" s="12" t="s">
        <v>35</v>
      </c>
      <c r="H66" s="12" t="s">
        <v>59</v>
      </c>
      <c r="I66" s="12" t="s">
        <v>100</v>
      </c>
      <c r="J66" s="12">
        <v>1</v>
      </c>
      <c r="K66" s="12">
        <v>64.989999999999995</v>
      </c>
      <c r="L66" s="12">
        <f>sorted_analysis!$K66*sorted_analysis!$J66</f>
        <v>64.989999999999995</v>
      </c>
      <c r="M66" s="12">
        <v>15</v>
      </c>
      <c r="N66" s="12">
        <f>sorted_analysis!$L66*(sorted_analysis!$M66/100)</f>
        <v>9.7484999999999982</v>
      </c>
      <c r="O66" s="12">
        <f>sorted_analysis!$L66-sorted_analysis!$N66</f>
        <v>55.241499999999995</v>
      </c>
      <c r="P66" s="12">
        <v>4.99</v>
      </c>
      <c r="Q66" s="12">
        <f>SUM(sorted_analysis!$O66+sorted_analysis!$P66)</f>
        <v>60.231499999999997</v>
      </c>
      <c r="R66" s="12" t="str">
        <f>IF(sorted_analysis!$Q66&gt;200,"High Value",IF(sorted_analysis!$Q66&gt;100,"Medium Value","Low Value"))</f>
        <v>Low Value</v>
      </c>
      <c r="S66" s="12" t="s">
        <v>21</v>
      </c>
      <c r="T66" s="12" t="s">
        <v>22</v>
      </c>
    </row>
    <row r="67" spans="1:20" outlineLevel="4" x14ac:dyDescent="0.3">
      <c r="A67" s="8" t="s">
        <v>355</v>
      </c>
      <c r="B67" s="9">
        <v>45491</v>
      </c>
      <c r="C67" s="9" t="str">
        <f>TEXT(sorted_analysis!$B67,"MMMM")</f>
        <v>July</v>
      </c>
      <c r="D67" s="2" t="s">
        <v>356</v>
      </c>
      <c r="E67" s="2" t="s">
        <v>357</v>
      </c>
      <c r="F67" s="2" t="s">
        <v>34</v>
      </c>
      <c r="G67" s="2" t="s">
        <v>58</v>
      </c>
      <c r="H67" s="2" t="s">
        <v>28</v>
      </c>
      <c r="I67" s="2" t="s">
        <v>358</v>
      </c>
      <c r="J67" s="2">
        <v>2</v>
      </c>
      <c r="K67" s="2">
        <v>29.99</v>
      </c>
      <c r="L67" s="2">
        <f>sorted_analysis!$K67*sorted_analysis!$J67</f>
        <v>59.98</v>
      </c>
      <c r="M67" s="2">
        <v>5</v>
      </c>
      <c r="N67" s="2">
        <f>sorted_analysis!$L67*(sorted_analysis!$M67/100)</f>
        <v>2.9990000000000001</v>
      </c>
      <c r="O67" s="2">
        <f>sorted_analysis!$L67-sorted_analysis!$N67</f>
        <v>56.980999999999995</v>
      </c>
      <c r="P67" s="2">
        <v>5.99</v>
      </c>
      <c r="Q67" s="2">
        <f>SUM(sorted_analysis!$O67+sorted_analysis!$P67)</f>
        <v>62.970999999999997</v>
      </c>
      <c r="R67" s="2" t="str">
        <f>IF(sorted_analysis!$Q67&gt;200,"High Value",IF(sorted_analysis!$Q67&gt;100,"Medium Value","Low Value"))</f>
        <v>Low Value</v>
      </c>
      <c r="S67" s="2" t="s">
        <v>44</v>
      </c>
      <c r="T67" s="2" t="s">
        <v>61</v>
      </c>
    </row>
    <row r="68" spans="1:20" outlineLevel="4" x14ac:dyDescent="0.3">
      <c r="A68" s="10" t="s">
        <v>179</v>
      </c>
      <c r="B68" s="11">
        <v>45379</v>
      </c>
      <c r="C68" s="11" t="str">
        <f>TEXT(sorted_analysis!$B68,"MMMM")</f>
        <v>March</v>
      </c>
      <c r="D68" s="12" t="s">
        <v>180</v>
      </c>
      <c r="E68" s="12" t="s">
        <v>181</v>
      </c>
      <c r="F68" s="12" t="s">
        <v>34</v>
      </c>
      <c r="G68" s="12" t="s">
        <v>18</v>
      </c>
      <c r="H68" s="12" t="s">
        <v>19</v>
      </c>
      <c r="I68" s="12" t="s">
        <v>182</v>
      </c>
      <c r="J68" s="12">
        <v>1</v>
      </c>
      <c r="K68" s="12">
        <v>69.989999999999995</v>
      </c>
      <c r="L68" s="12">
        <f>sorted_analysis!$K68*sorted_analysis!$J68</f>
        <v>69.989999999999995</v>
      </c>
      <c r="M68" s="12">
        <v>10</v>
      </c>
      <c r="N68" s="12">
        <f>sorted_analysis!$L68*(sorted_analysis!$M68/100)</f>
        <v>6.9989999999999997</v>
      </c>
      <c r="O68" s="12">
        <f>sorted_analysis!$L68-sorted_analysis!$N68</f>
        <v>62.990999999999993</v>
      </c>
      <c r="P68" s="12">
        <v>6.5</v>
      </c>
      <c r="Q68" s="12">
        <f>SUM(sorted_analysis!$O68+sorted_analysis!$P68)</f>
        <v>69.490999999999985</v>
      </c>
      <c r="R68" s="12" t="str">
        <f>IF(sorted_analysis!$Q68&gt;200,"High Value",IF(sorted_analysis!$Q68&gt;100,"Medium Value","Low Value"))</f>
        <v>Low Value</v>
      </c>
      <c r="S68" s="12" t="s">
        <v>30</v>
      </c>
      <c r="T68" s="12" t="s">
        <v>61</v>
      </c>
    </row>
    <row r="69" spans="1:20" outlineLevel="4" x14ac:dyDescent="0.3">
      <c r="A69" s="8" t="s">
        <v>339</v>
      </c>
      <c r="B69" s="9">
        <v>45481</v>
      </c>
      <c r="C69" s="9" t="str">
        <f>TEXT(sorted_analysis!$B69,"MMMM")</f>
        <v>July</v>
      </c>
      <c r="D69" s="2" t="s">
        <v>340</v>
      </c>
      <c r="E69" s="2" t="s">
        <v>341</v>
      </c>
      <c r="F69" s="2" t="s">
        <v>34</v>
      </c>
      <c r="G69" s="2" t="s">
        <v>35</v>
      </c>
      <c r="H69" s="2" t="s">
        <v>28</v>
      </c>
      <c r="I69" s="2" t="s">
        <v>342</v>
      </c>
      <c r="J69" s="2">
        <v>2</v>
      </c>
      <c r="K69" s="2">
        <v>34.99</v>
      </c>
      <c r="L69" s="2">
        <f>sorted_analysis!$K69*sorted_analysis!$J69</f>
        <v>69.98</v>
      </c>
      <c r="M69" s="2">
        <v>10</v>
      </c>
      <c r="N69" s="2">
        <f>sorted_analysis!$L69*(sorted_analysis!$M69/100)</f>
        <v>6.9980000000000011</v>
      </c>
      <c r="O69" s="2">
        <f>sorted_analysis!$L69-sorted_analysis!$N69</f>
        <v>62.981999999999999</v>
      </c>
      <c r="P69" s="2">
        <v>6.99</v>
      </c>
      <c r="Q69" s="2">
        <f>SUM(sorted_analysis!$O69+sorted_analysis!$P69)</f>
        <v>69.971999999999994</v>
      </c>
      <c r="R69" s="2" t="str">
        <f>IF(sorted_analysis!$Q69&gt;200,"High Value",IF(sorted_analysis!$Q69&gt;100,"Medium Value","Low Value"))</f>
        <v>Low Value</v>
      </c>
      <c r="S69" s="2" t="s">
        <v>44</v>
      </c>
      <c r="T69" s="2" t="s">
        <v>22</v>
      </c>
    </row>
    <row r="70" spans="1:20" outlineLevel="4" x14ac:dyDescent="0.3">
      <c r="A70" s="10" t="s">
        <v>147</v>
      </c>
      <c r="B70" s="11">
        <v>45359</v>
      </c>
      <c r="C70" s="11" t="str">
        <f>TEXT(sorted_analysis!$B70,"MMMM")</f>
        <v>March</v>
      </c>
      <c r="D70" s="12" t="s">
        <v>148</v>
      </c>
      <c r="E70" s="12" t="s">
        <v>149</v>
      </c>
      <c r="F70" s="12" t="s">
        <v>34</v>
      </c>
      <c r="G70" s="12" t="s">
        <v>35</v>
      </c>
      <c r="H70" s="12" t="s">
        <v>42</v>
      </c>
      <c r="I70" s="12" t="s">
        <v>150</v>
      </c>
      <c r="J70" s="12">
        <v>2</v>
      </c>
      <c r="K70" s="12">
        <v>39.99</v>
      </c>
      <c r="L70" s="12">
        <f>sorted_analysis!$K70*sorted_analysis!$J70</f>
        <v>79.98</v>
      </c>
      <c r="M70" s="12">
        <v>20</v>
      </c>
      <c r="N70" s="12">
        <f>sorted_analysis!$L70*(sorted_analysis!$M70/100)</f>
        <v>15.996000000000002</v>
      </c>
      <c r="O70" s="12">
        <f>sorted_analysis!$L70-sorted_analysis!$N70</f>
        <v>63.984000000000002</v>
      </c>
      <c r="P70" s="12">
        <v>6.99</v>
      </c>
      <c r="Q70" s="12">
        <f>SUM(sorted_analysis!$O70+sorted_analysis!$P70)</f>
        <v>70.974000000000004</v>
      </c>
      <c r="R70" s="12" t="str">
        <f>IF(sorted_analysis!$Q70&gt;200,"High Value",IF(sorted_analysis!$Q70&gt;100,"Medium Value","Low Value"))</f>
        <v>Low Value</v>
      </c>
      <c r="S70" s="12" t="s">
        <v>21</v>
      </c>
      <c r="T70" s="12" t="s">
        <v>22</v>
      </c>
    </row>
    <row r="71" spans="1:20" outlineLevel="4" x14ac:dyDescent="0.3">
      <c r="A71" s="8" t="s">
        <v>163</v>
      </c>
      <c r="B71" s="9">
        <v>45369</v>
      </c>
      <c r="C71" s="9" t="str">
        <f>TEXT(sorted_analysis!$B71,"MMMM")</f>
        <v>March</v>
      </c>
      <c r="D71" s="2" t="s">
        <v>164</v>
      </c>
      <c r="E71" s="2" t="s">
        <v>165</v>
      </c>
      <c r="F71" s="2" t="s">
        <v>34</v>
      </c>
      <c r="G71" s="2" t="s">
        <v>58</v>
      </c>
      <c r="H71" s="2" t="s">
        <v>42</v>
      </c>
      <c r="I71" s="2" t="s">
        <v>166</v>
      </c>
      <c r="J71" s="2">
        <v>3</v>
      </c>
      <c r="K71" s="2">
        <v>24.99</v>
      </c>
      <c r="L71" s="2">
        <f>sorted_analysis!$K71*sorted_analysis!$J71</f>
        <v>74.97</v>
      </c>
      <c r="M71" s="2">
        <v>10</v>
      </c>
      <c r="N71" s="2">
        <f>sorted_analysis!$L71*(sorted_analysis!$M71/100)</f>
        <v>7.4969999999999999</v>
      </c>
      <c r="O71" s="2">
        <f>sorted_analysis!$L71-sorted_analysis!$N71</f>
        <v>67.472999999999999</v>
      </c>
      <c r="P71" s="2">
        <v>5.5</v>
      </c>
      <c r="Q71" s="2">
        <f>SUM(sorted_analysis!$O71+sorted_analysis!$P71)</f>
        <v>72.972999999999999</v>
      </c>
      <c r="R71" s="2" t="str">
        <f>IF(sorted_analysis!$Q71&gt;200,"High Value",IF(sorted_analysis!$Q71&gt;100,"Medium Value","Low Value"))</f>
        <v>Low Value</v>
      </c>
      <c r="S71" s="2" t="s">
        <v>30</v>
      </c>
      <c r="T71" s="2" t="s">
        <v>22</v>
      </c>
    </row>
    <row r="72" spans="1:20" outlineLevel="4" x14ac:dyDescent="0.3">
      <c r="A72" s="10" t="s">
        <v>307</v>
      </c>
      <c r="B72" s="11">
        <v>45461</v>
      </c>
      <c r="C72" s="11" t="str">
        <f>TEXT(sorted_analysis!$B72,"MMMM")</f>
        <v>June</v>
      </c>
      <c r="D72" s="12" t="s">
        <v>308</v>
      </c>
      <c r="E72" s="12" t="s">
        <v>309</v>
      </c>
      <c r="F72" s="12" t="s">
        <v>34</v>
      </c>
      <c r="G72" s="12" t="s">
        <v>58</v>
      </c>
      <c r="H72" s="12" t="s">
        <v>42</v>
      </c>
      <c r="I72" s="12" t="s">
        <v>310</v>
      </c>
      <c r="J72" s="12">
        <v>3</v>
      </c>
      <c r="K72" s="12">
        <v>29.99</v>
      </c>
      <c r="L72" s="12">
        <f>sorted_analysis!$K72*sorted_analysis!$J72</f>
        <v>89.97</v>
      </c>
      <c r="M72" s="12">
        <v>25</v>
      </c>
      <c r="N72" s="12">
        <f>sorted_analysis!$L72*(sorted_analysis!$M72/100)</f>
        <v>22.4925</v>
      </c>
      <c r="O72" s="12">
        <f>sorted_analysis!$L72-sorted_analysis!$N72</f>
        <v>67.477499999999992</v>
      </c>
      <c r="P72" s="12">
        <v>5.99</v>
      </c>
      <c r="Q72" s="12">
        <f>SUM(sorted_analysis!$O72+sorted_analysis!$P72)</f>
        <v>73.467499999999987</v>
      </c>
      <c r="R72" s="12" t="str">
        <f>IF(sorted_analysis!$Q72&gt;200,"High Value",IF(sorted_analysis!$Q72&gt;100,"Medium Value","Low Value"))</f>
        <v>Low Value</v>
      </c>
      <c r="S72" s="12" t="s">
        <v>21</v>
      </c>
      <c r="T72" s="12" t="s">
        <v>72</v>
      </c>
    </row>
    <row r="73" spans="1:20" outlineLevel="4" x14ac:dyDescent="0.3">
      <c r="A73" s="8" t="s">
        <v>259</v>
      </c>
      <c r="B73" s="9">
        <v>45430</v>
      </c>
      <c r="C73" s="9" t="str">
        <f>TEXT(sorted_analysis!$B73,"MMMM")</f>
        <v>May</v>
      </c>
      <c r="D73" s="2" t="s">
        <v>260</v>
      </c>
      <c r="E73" s="2" t="s">
        <v>261</v>
      </c>
      <c r="F73" s="2" t="s">
        <v>34</v>
      </c>
      <c r="G73" s="2" t="s">
        <v>58</v>
      </c>
      <c r="H73" s="2" t="s">
        <v>59</v>
      </c>
      <c r="I73" s="2" t="s">
        <v>262</v>
      </c>
      <c r="J73" s="2">
        <v>2</v>
      </c>
      <c r="K73" s="2">
        <v>34.99</v>
      </c>
      <c r="L73" s="2">
        <f>sorted_analysis!$K73*sorted_analysis!$J73</f>
        <v>69.98</v>
      </c>
      <c r="M73" s="2">
        <v>0</v>
      </c>
      <c r="N73" s="2">
        <f>sorted_analysis!$L73*(sorted_analysis!$M73/100)</f>
        <v>0</v>
      </c>
      <c r="O73" s="2">
        <f>sorted_analysis!$L73-sorted_analysis!$N73</f>
        <v>69.98</v>
      </c>
      <c r="P73" s="2">
        <v>4.5</v>
      </c>
      <c r="Q73" s="2">
        <f>SUM(sorted_analysis!$O73+sorted_analysis!$P73)</f>
        <v>74.48</v>
      </c>
      <c r="R73" s="2" t="str">
        <f>IF(sorted_analysis!$Q73&gt;200,"High Value",IF(sorted_analysis!$Q73&gt;100,"Medium Value","Low Value"))</f>
        <v>Low Value</v>
      </c>
      <c r="S73" s="2" t="s">
        <v>21</v>
      </c>
      <c r="T73" s="2" t="s">
        <v>22</v>
      </c>
    </row>
    <row r="74" spans="1:20" outlineLevel="4" x14ac:dyDescent="0.3">
      <c r="A74" s="10" t="s">
        <v>195</v>
      </c>
      <c r="B74" s="11">
        <v>45390</v>
      </c>
      <c r="C74" s="11" t="str">
        <f>TEXT(sorted_analysis!$B74,"MMMM")</f>
        <v>April</v>
      </c>
      <c r="D74" s="12" t="s">
        <v>196</v>
      </c>
      <c r="E74" s="12" t="s">
        <v>197</v>
      </c>
      <c r="F74" s="12" t="s">
        <v>34</v>
      </c>
      <c r="G74" s="12" t="s">
        <v>35</v>
      </c>
      <c r="H74" s="12" t="s">
        <v>28</v>
      </c>
      <c r="I74" s="12" t="s">
        <v>198</v>
      </c>
      <c r="J74" s="12">
        <v>4</v>
      </c>
      <c r="K74" s="12">
        <v>19.989999999999998</v>
      </c>
      <c r="L74" s="12">
        <f>sorted_analysis!$K74*sorted_analysis!$J74</f>
        <v>79.959999999999994</v>
      </c>
      <c r="M74" s="12">
        <v>10</v>
      </c>
      <c r="N74" s="12">
        <f>sorted_analysis!$L74*(sorted_analysis!$M74/100)</f>
        <v>7.9959999999999996</v>
      </c>
      <c r="O74" s="12">
        <f>sorted_analysis!$L74-sorted_analysis!$N74</f>
        <v>71.963999999999999</v>
      </c>
      <c r="P74" s="12">
        <v>4.5</v>
      </c>
      <c r="Q74" s="12">
        <f>SUM(sorted_analysis!$O74+sorted_analysis!$P74)</f>
        <v>76.463999999999999</v>
      </c>
      <c r="R74" s="12" t="str">
        <f>IF(sorted_analysis!$Q74&gt;200,"High Value",IF(sorted_analysis!$Q74&gt;100,"Medium Value","Low Value"))</f>
        <v>Low Value</v>
      </c>
      <c r="S74" s="12" t="s">
        <v>21</v>
      </c>
      <c r="T74" s="12" t="s">
        <v>72</v>
      </c>
    </row>
    <row r="75" spans="1:20" outlineLevel="4" x14ac:dyDescent="0.3">
      <c r="A75" s="8" t="s">
        <v>291</v>
      </c>
      <c r="B75" s="9">
        <v>45451</v>
      </c>
      <c r="C75" s="9" t="str">
        <f>TEXT(sorted_analysis!$B75,"MMMM")</f>
        <v>June</v>
      </c>
      <c r="D75" s="2" t="s">
        <v>292</v>
      </c>
      <c r="E75" s="2" t="s">
        <v>293</v>
      </c>
      <c r="F75" s="2" t="s">
        <v>34</v>
      </c>
      <c r="G75" s="2" t="s">
        <v>35</v>
      </c>
      <c r="H75" s="2" t="s">
        <v>42</v>
      </c>
      <c r="I75" s="2" t="s">
        <v>294</v>
      </c>
      <c r="J75" s="2">
        <v>2</v>
      </c>
      <c r="K75" s="2">
        <v>34.99</v>
      </c>
      <c r="L75" s="2">
        <f>sorted_analysis!$K75*sorted_analysis!$J75</f>
        <v>69.98</v>
      </c>
      <c r="M75" s="2">
        <v>0</v>
      </c>
      <c r="N75" s="2">
        <f>sorted_analysis!$L75*(sorted_analysis!$M75/100)</f>
        <v>0</v>
      </c>
      <c r="O75" s="2">
        <f>sorted_analysis!$L75-sorted_analysis!$N75</f>
        <v>69.98</v>
      </c>
      <c r="P75" s="2">
        <v>6.5</v>
      </c>
      <c r="Q75" s="2">
        <f>SUM(sorted_analysis!$O75+sorted_analysis!$P75)</f>
        <v>76.48</v>
      </c>
      <c r="R75" s="2" t="str">
        <f>IF(sorted_analysis!$Q75&gt;200,"High Value",IF(sorted_analysis!$Q75&gt;100,"Medium Value","Low Value"))</f>
        <v>Low Value</v>
      </c>
      <c r="S75" s="2" t="s">
        <v>30</v>
      </c>
      <c r="T75" s="2" t="s">
        <v>22</v>
      </c>
    </row>
    <row r="76" spans="1:20" outlineLevel="4" x14ac:dyDescent="0.3">
      <c r="A76" s="10" t="s">
        <v>211</v>
      </c>
      <c r="B76" s="11">
        <v>45400</v>
      </c>
      <c r="C76" s="11" t="str">
        <f>TEXT(sorted_analysis!$B76,"MMMM")</f>
        <v>April</v>
      </c>
      <c r="D76" s="12" t="s">
        <v>212</v>
      </c>
      <c r="E76" s="12" t="s">
        <v>213</v>
      </c>
      <c r="F76" s="12" t="s">
        <v>34</v>
      </c>
      <c r="G76" s="12" t="s">
        <v>58</v>
      </c>
      <c r="H76" s="12" t="s">
        <v>28</v>
      </c>
      <c r="I76" s="12" t="s">
        <v>214</v>
      </c>
      <c r="J76" s="12">
        <v>3</v>
      </c>
      <c r="K76" s="12">
        <v>24.99</v>
      </c>
      <c r="L76" s="12">
        <f>sorted_analysis!$K76*sorted_analysis!$J76</f>
        <v>74.97</v>
      </c>
      <c r="M76" s="12">
        <v>5</v>
      </c>
      <c r="N76" s="12">
        <f>sorted_analysis!$L76*(sorted_analysis!$M76/100)</f>
        <v>3.7484999999999999</v>
      </c>
      <c r="O76" s="12">
        <f>sorted_analysis!$L76-sorted_analysis!$N76</f>
        <v>71.221499999999992</v>
      </c>
      <c r="P76" s="12">
        <v>6.5</v>
      </c>
      <c r="Q76" s="12">
        <f>SUM(sorted_analysis!$O76+sorted_analysis!$P76)</f>
        <v>77.721499999999992</v>
      </c>
      <c r="R76" s="12" t="str">
        <f>IF(sorted_analysis!$Q76&gt;200,"High Value",IF(sorted_analysis!$Q76&gt;100,"Medium Value","Low Value"))</f>
        <v>Low Value</v>
      </c>
      <c r="S76" s="12" t="s">
        <v>21</v>
      </c>
      <c r="T76" s="12" t="s">
        <v>22</v>
      </c>
    </row>
    <row r="77" spans="1:20" outlineLevel="4" x14ac:dyDescent="0.3">
      <c r="A77" s="8" t="s">
        <v>275</v>
      </c>
      <c r="B77" s="9">
        <v>45440</v>
      </c>
      <c r="C77" s="9" t="str">
        <f>TEXT(sorted_analysis!$B77,"MMMM")</f>
        <v>May</v>
      </c>
      <c r="D77" s="2" t="s">
        <v>276</v>
      </c>
      <c r="E77" s="2" t="s">
        <v>277</v>
      </c>
      <c r="F77" s="2" t="s">
        <v>34</v>
      </c>
      <c r="G77" s="2" t="s">
        <v>18</v>
      </c>
      <c r="H77" s="2" t="s">
        <v>19</v>
      </c>
      <c r="I77" s="2" t="s">
        <v>278</v>
      </c>
      <c r="J77" s="2">
        <v>4</v>
      </c>
      <c r="K77" s="2">
        <v>24.99</v>
      </c>
      <c r="L77" s="2">
        <f>sorted_analysis!$K77*sorted_analysis!$J77</f>
        <v>99.96</v>
      </c>
      <c r="M77" s="2">
        <v>10</v>
      </c>
      <c r="N77" s="2">
        <f>sorted_analysis!$L77*(sorted_analysis!$M77/100)</f>
        <v>9.9960000000000004</v>
      </c>
      <c r="O77" s="2">
        <f>sorted_analysis!$L77-sorted_analysis!$N77</f>
        <v>89.963999999999999</v>
      </c>
      <c r="P77" s="2">
        <v>3.99</v>
      </c>
      <c r="Q77" s="2">
        <f>SUM(sorted_analysis!$O77+sorted_analysis!$P77)</f>
        <v>93.953999999999994</v>
      </c>
      <c r="R77" s="2" t="str">
        <f>IF(sorted_analysis!$Q77&gt;200,"High Value",IF(sorted_analysis!$Q77&gt;100,"Medium Value","Low Value"))</f>
        <v>Low Value</v>
      </c>
      <c r="S77" s="2" t="s">
        <v>30</v>
      </c>
      <c r="T77" s="2" t="s">
        <v>72</v>
      </c>
    </row>
    <row r="78" spans="1:20" outlineLevel="4" x14ac:dyDescent="0.3">
      <c r="A78" s="10" t="s">
        <v>323</v>
      </c>
      <c r="B78" s="11">
        <v>45471</v>
      </c>
      <c r="C78" s="11" t="str">
        <f>TEXT(sorted_analysis!$B78,"MMMM")</f>
        <v>June</v>
      </c>
      <c r="D78" s="12" t="s">
        <v>324</v>
      </c>
      <c r="E78" s="12" t="s">
        <v>325</v>
      </c>
      <c r="F78" s="12" t="s">
        <v>34</v>
      </c>
      <c r="G78" s="12" t="s">
        <v>18</v>
      </c>
      <c r="H78" s="12" t="s">
        <v>19</v>
      </c>
      <c r="I78" s="12" t="s">
        <v>326</v>
      </c>
      <c r="J78" s="12">
        <v>4</v>
      </c>
      <c r="K78" s="12">
        <v>29.99</v>
      </c>
      <c r="L78" s="12">
        <f>sorted_analysis!$K78*sorted_analysis!$J78</f>
        <v>119.96</v>
      </c>
      <c r="M78" s="12">
        <v>15</v>
      </c>
      <c r="N78" s="12">
        <f>sorted_analysis!$L78*(sorted_analysis!$M78/100)</f>
        <v>17.994</v>
      </c>
      <c r="O78" s="12">
        <f>sorted_analysis!$L78-sorted_analysis!$N78</f>
        <v>101.96599999999999</v>
      </c>
      <c r="P78" s="12">
        <v>5.99</v>
      </c>
      <c r="Q78" s="12">
        <f>SUM(sorted_analysis!$O78+sorted_analysis!$P78)</f>
        <v>107.95599999999999</v>
      </c>
      <c r="R78" s="12" t="str">
        <f>IF(sorted_analysis!$Q78&gt;200,"High Value",IF(sorted_analysis!$Q78&gt;100,"Medium Value","Low Value"))</f>
        <v>Medium Value</v>
      </c>
      <c r="S78" s="12" t="s">
        <v>21</v>
      </c>
      <c r="T78" s="12" t="s">
        <v>22</v>
      </c>
    </row>
    <row r="79" spans="1:20" outlineLevel="4" x14ac:dyDescent="0.3">
      <c r="A79" s="8" t="s">
        <v>371</v>
      </c>
      <c r="B79" s="9">
        <v>45501</v>
      </c>
      <c r="C79" s="9" t="str">
        <f>TEXT(sorted_analysis!$B79,"MMMM")</f>
        <v>July</v>
      </c>
      <c r="D79" s="2" t="s">
        <v>372</v>
      </c>
      <c r="E79" s="2" t="s">
        <v>373</v>
      </c>
      <c r="F79" s="2" t="s">
        <v>34</v>
      </c>
      <c r="G79" s="2" t="s">
        <v>18</v>
      </c>
      <c r="H79" s="2" t="s">
        <v>19</v>
      </c>
      <c r="I79" s="2" t="s">
        <v>374</v>
      </c>
      <c r="J79" s="2">
        <v>1</v>
      </c>
      <c r="K79" s="2">
        <v>99.99</v>
      </c>
      <c r="L79" s="2">
        <f>sorted_analysis!$K79*sorted_analysis!$J79</f>
        <v>99.99</v>
      </c>
      <c r="M79" s="2">
        <v>0</v>
      </c>
      <c r="N79" s="2">
        <f>sorted_analysis!$L79*(sorted_analysis!$M79/100)</f>
        <v>0</v>
      </c>
      <c r="O79" s="2">
        <f>sorted_analysis!$L79-sorted_analysis!$N79</f>
        <v>99.99</v>
      </c>
      <c r="P79" s="2">
        <v>9.99</v>
      </c>
      <c r="Q79" s="2">
        <f>SUM(sorted_analysis!$O79+sorted_analysis!$P79)</f>
        <v>109.97999999999999</v>
      </c>
      <c r="R79" s="2" t="str">
        <f>IF(sorted_analysis!$Q79&gt;200,"High Value",IF(sorted_analysis!$Q79&gt;100,"Medium Value","Low Value"))</f>
        <v>Medium Value</v>
      </c>
      <c r="S79" s="2" t="s">
        <v>21</v>
      </c>
      <c r="T79" s="2" t="s">
        <v>22</v>
      </c>
    </row>
    <row r="80" spans="1:20" outlineLevel="4" x14ac:dyDescent="0.3">
      <c r="A80" s="10" t="s">
        <v>435</v>
      </c>
      <c r="B80" s="11">
        <v>45543</v>
      </c>
      <c r="C80" s="11" t="str">
        <f>TEXT(sorted_analysis!$B80,"MMMM")</f>
        <v>September</v>
      </c>
      <c r="D80" s="12" t="s">
        <v>436</v>
      </c>
      <c r="E80" s="12" t="s">
        <v>437</v>
      </c>
      <c r="F80" s="12" t="s">
        <v>34</v>
      </c>
      <c r="G80" s="12" t="s">
        <v>35</v>
      </c>
      <c r="H80" s="12" t="s">
        <v>42</v>
      </c>
      <c r="I80" s="12" t="s">
        <v>438</v>
      </c>
      <c r="J80" s="12">
        <v>1</v>
      </c>
      <c r="K80" s="12">
        <v>119.99</v>
      </c>
      <c r="L80" s="12">
        <f>sorted_analysis!$K80*sorted_analysis!$J80</f>
        <v>119.99</v>
      </c>
      <c r="M80" s="12">
        <v>0</v>
      </c>
      <c r="N80" s="12">
        <f>sorted_analysis!$L80*(sorted_analysis!$M80/100)</f>
        <v>0</v>
      </c>
      <c r="O80" s="12">
        <f>sorted_analysis!$L80-sorted_analysis!$N80</f>
        <v>119.99</v>
      </c>
      <c r="P80" s="12">
        <v>12.99</v>
      </c>
      <c r="Q80" s="12">
        <f>SUM(sorted_analysis!$O80+sorted_analysis!$P80)</f>
        <v>132.97999999999999</v>
      </c>
      <c r="R80" s="12" t="str">
        <f>IF(sorted_analysis!$Q80&gt;200,"High Value",IF(sorted_analysis!$Q80&gt;100,"Medium Value","Low Value"))</f>
        <v>Medium Value</v>
      </c>
      <c r="S80" s="12" t="s">
        <v>44</v>
      </c>
      <c r="T80" s="12" t="s">
        <v>22</v>
      </c>
    </row>
    <row r="81" spans="1:20" outlineLevel="4" x14ac:dyDescent="0.3">
      <c r="A81" s="8" t="s">
        <v>131</v>
      </c>
      <c r="B81" s="9">
        <v>45350</v>
      </c>
      <c r="C81" s="9" t="str">
        <f>TEXT(sorted_analysis!$B81,"MMMM")</f>
        <v>February</v>
      </c>
      <c r="D81" s="2" t="s">
        <v>132</v>
      </c>
      <c r="E81" s="2" t="s">
        <v>133</v>
      </c>
      <c r="F81" s="2" t="s">
        <v>34</v>
      </c>
      <c r="G81" s="2" t="s">
        <v>18</v>
      </c>
      <c r="H81" s="2" t="s">
        <v>19</v>
      </c>
      <c r="I81" s="2" t="s">
        <v>134</v>
      </c>
      <c r="J81" s="2">
        <v>1</v>
      </c>
      <c r="K81" s="2">
        <v>199.99</v>
      </c>
      <c r="L81" s="2">
        <f>sorted_analysis!$K81*sorted_analysis!$J81</f>
        <v>199.99</v>
      </c>
      <c r="M81" s="2">
        <v>15</v>
      </c>
      <c r="N81" s="2">
        <f>sorted_analysis!$L81*(sorted_analysis!$M81/100)</f>
        <v>29.9985</v>
      </c>
      <c r="O81" s="2">
        <f>sorted_analysis!$L81-sorted_analysis!$N81</f>
        <v>169.9915</v>
      </c>
      <c r="P81" s="2">
        <v>10.99</v>
      </c>
      <c r="Q81" s="2">
        <f>SUM(sorted_analysis!$O81+sorted_analysis!$P81)</f>
        <v>180.98150000000001</v>
      </c>
      <c r="R81" s="2" t="str">
        <f>IF(sorted_analysis!$Q81&gt;200,"High Value",IF(sorted_analysis!$Q81&gt;100,"Medium Value","Low Value"))</f>
        <v>Medium Value</v>
      </c>
      <c r="S81" s="2" t="s">
        <v>21</v>
      </c>
      <c r="T81" s="2" t="s">
        <v>72</v>
      </c>
    </row>
    <row r="82" spans="1:20" outlineLevel="4" x14ac:dyDescent="0.3">
      <c r="A82" s="10" t="s">
        <v>419</v>
      </c>
      <c r="B82" s="11">
        <v>45532</v>
      </c>
      <c r="C82" s="11" t="str">
        <f>TEXT(sorted_analysis!$B82,"MMMM")</f>
        <v>August</v>
      </c>
      <c r="D82" s="12" t="s">
        <v>420</v>
      </c>
      <c r="E82" s="12" t="s">
        <v>421</v>
      </c>
      <c r="F82" s="12" t="s">
        <v>34</v>
      </c>
      <c r="G82" s="12" t="s">
        <v>18</v>
      </c>
      <c r="H82" s="12" t="s">
        <v>19</v>
      </c>
      <c r="I82" s="12" t="s">
        <v>422</v>
      </c>
      <c r="J82" s="12">
        <v>1</v>
      </c>
      <c r="K82" s="12">
        <v>499.99</v>
      </c>
      <c r="L82" s="12">
        <f>sorted_analysis!$K82*sorted_analysis!$J82</f>
        <v>499.99</v>
      </c>
      <c r="M82" s="12">
        <v>10</v>
      </c>
      <c r="N82" s="12">
        <f>sorted_analysis!$L82*(sorted_analysis!$M82/100)</f>
        <v>49.999000000000002</v>
      </c>
      <c r="O82" s="12">
        <f>sorted_analysis!$L82-sorted_analysis!$N82</f>
        <v>449.99099999999999</v>
      </c>
      <c r="P82" s="12">
        <v>24.99</v>
      </c>
      <c r="Q82" s="12">
        <f>SUM(sorted_analysis!$O82+sorted_analysis!$P82)</f>
        <v>474.98099999999999</v>
      </c>
      <c r="R82" s="12" t="str">
        <f>IF(sorted_analysis!$Q82&gt;200,"High Value",IF(sorted_analysis!$Q82&gt;100,"Medium Value","Low Value"))</f>
        <v>High Value</v>
      </c>
      <c r="S82" s="12" t="s">
        <v>21</v>
      </c>
      <c r="T82" s="12" t="s">
        <v>72</v>
      </c>
    </row>
    <row r="83" spans="1:20" s="13" customFormat="1" outlineLevel="3" x14ac:dyDescent="0.3">
      <c r="A83" s="14"/>
      <c r="B83" s="15"/>
      <c r="C83" s="15"/>
      <c r="D83" s="16"/>
      <c r="E83" s="16"/>
      <c r="F83" s="17" t="s">
        <v>462</v>
      </c>
      <c r="G83" s="16"/>
      <c r="H83" s="16"/>
      <c r="I83" s="16"/>
      <c r="J83" s="16"/>
      <c r="K83" s="16"/>
      <c r="L83" s="16"/>
      <c r="M83" s="16"/>
      <c r="N83" s="16"/>
      <c r="O83" s="16"/>
      <c r="P83" s="16"/>
      <c r="Q83" s="16">
        <f>SUBTOTAL(3,Q58:Q82)</f>
        <v>25</v>
      </c>
      <c r="R83" s="16"/>
      <c r="S83" s="16"/>
      <c r="T83" s="16"/>
    </row>
    <row r="84" spans="1:20" s="13" customFormat="1" outlineLevel="2" x14ac:dyDescent="0.3">
      <c r="A84" s="14"/>
      <c r="B84" s="15"/>
      <c r="C84" s="15"/>
      <c r="D84" s="16"/>
      <c r="E84" s="16"/>
      <c r="F84" s="17" t="s">
        <v>453</v>
      </c>
      <c r="G84" s="16"/>
      <c r="H84" s="16"/>
      <c r="I84" s="16"/>
      <c r="J84" s="16"/>
      <c r="K84" s="16"/>
      <c r="L84" s="16"/>
      <c r="M84" s="16"/>
      <c r="N84" s="16"/>
      <c r="O84" s="16"/>
      <c r="P84" s="16"/>
      <c r="Q84" s="16">
        <f>SUBTOTAL(9,Q58:Q82)</f>
        <v>2262.1475</v>
      </c>
      <c r="R84" s="16"/>
      <c r="S84" s="16"/>
      <c r="T84" s="16"/>
    </row>
    <row r="85" spans="1:20" s="13" customFormat="1" outlineLevel="1" x14ac:dyDescent="0.3">
      <c r="A85" s="14"/>
      <c r="B85" s="15"/>
      <c r="C85" s="15"/>
      <c r="D85" s="16"/>
      <c r="E85" s="16"/>
      <c r="F85" s="17" t="s">
        <v>457</v>
      </c>
      <c r="G85" s="16"/>
      <c r="H85" s="16"/>
      <c r="I85" s="16"/>
      <c r="J85" s="16"/>
      <c r="K85" s="16"/>
      <c r="L85" s="16"/>
      <c r="M85" s="16"/>
      <c r="N85" s="16"/>
      <c r="O85" s="16"/>
      <c r="P85" s="16"/>
      <c r="Q85" s="16">
        <f>SUBTOTAL(1,Q58:Q82)</f>
        <v>90.485900000000001</v>
      </c>
      <c r="R85" s="16"/>
      <c r="S85" s="16"/>
      <c r="T85" s="16"/>
    </row>
    <row r="86" spans="1:20" outlineLevel="4" x14ac:dyDescent="0.3">
      <c r="A86" s="8" t="s">
        <v>151</v>
      </c>
      <c r="B86" s="9">
        <v>45361</v>
      </c>
      <c r="C86" s="9" t="str">
        <f>TEXT(sorted_analysis!$B86,"MMMM")</f>
        <v>March</v>
      </c>
      <c r="D86" s="2" t="s">
        <v>152</v>
      </c>
      <c r="E86" s="2" t="s">
        <v>153</v>
      </c>
      <c r="F86" s="2" t="s">
        <v>40</v>
      </c>
      <c r="G86" s="2" t="s">
        <v>85</v>
      </c>
      <c r="H86" s="2" t="s">
        <v>59</v>
      </c>
      <c r="I86" s="2" t="s">
        <v>154</v>
      </c>
      <c r="J86" s="2">
        <v>1</v>
      </c>
      <c r="K86" s="2">
        <v>24.99</v>
      </c>
      <c r="L86" s="2">
        <f>sorted_analysis!$K86*sorted_analysis!$J86</f>
        <v>24.99</v>
      </c>
      <c r="M86" s="2">
        <v>0</v>
      </c>
      <c r="N86" s="2">
        <f>sorted_analysis!$L86*(sorted_analysis!$M86/100)</f>
        <v>0</v>
      </c>
      <c r="O86" s="2">
        <f>sorted_analysis!$L86-sorted_analysis!$N86</f>
        <v>24.99</v>
      </c>
      <c r="P86" s="2">
        <v>3.5</v>
      </c>
      <c r="Q86" s="2">
        <f>SUM(sorted_analysis!$O86+sorted_analysis!$P86)</f>
        <v>28.49</v>
      </c>
      <c r="R86" s="2" t="str">
        <f>IF(sorted_analysis!$Q86&gt;200,"High Value",IF(sorted_analysis!$Q86&gt;100,"Medium Value","Low Value"))</f>
        <v>Low Value</v>
      </c>
      <c r="S86" s="2" t="s">
        <v>30</v>
      </c>
      <c r="T86" s="2" t="s">
        <v>22</v>
      </c>
    </row>
    <row r="87" spans="1:20" outlineLevel="4" x14ac:dyDescent="0.3">
      <c r="A87" s="10" t="s">
        <v>215</v>
      </c>
      <c r="B87" s="11">
        <v>45402</v>
      </c>
      <c r="C87" s="11" t="str">
        <f>TEXT(sorted_analysis!$B87,"MMMM")</f>
        <v>April</v>
      </c>
      <c r="D87" s="12" t="s">
        <v>216</v>
      </c>
      <c r="E87" s="12" t="s">
        <v>217</v>
      </c>
      <c r="F87" s="12" t="s">
        <v>40</v>
      </c>
      <c r="G87" s="12" t="s">
        <v>121</v>
      </c>
      <c r="H87" s="12" t="s">
        <v>19</v>
      </c>
      <c r="I87" s="12" t="s">
        <v>218</v>
      </c>
      <c r="J87" s="12">
        <v>1</v>
      </c>
      <c r="K87" s="12">
        <v>39.99</v>
      </c>
      <c r="L87" s="12">
        <f>sorted_analysis!$K87*sorted_analysis!$J87</f>
        <v>39.99</v>
      </c>
      <c r="M87" s="12">
        <v>10</v>
      </c>
      <c r="N87" s="12">
        <f>sorted_analysis!$L87*(sorted_analysis!$M87/100)</f>
        <v>3.9990000000000006</v>
      </c>
      <c r="O87" s="12">
        <f>sorted_analysis!$L87-sorted_analysis!$N87</f>
        <v>35.991</v>
      </c>
      <c r="P87" s="12">
        <v>5.99</v>
      </c>
      <c r="Q87" s="12">
        <f>SUM(sorted_analysis!$O87+sorted_analysis!$P87)</f>
        <v>41.981000000000002</v>
      </c>
      <c r="R87" s="12" t="str">
        <f>IF(sorted_analysis!$Q87&gt;200,"High Value",IF(sorted_analysis!$Q87&gt;100,"Medium Value","Low Value"))</f>
        <v>Low Value</v>
      </c>
      <c r="S87" s="12" t="s">
        <v>44</v>
      </c>
      <c r="T87" s="12" t="s">
        <v>22</v>
      </c>
    </row>
    <row r="88" spans="1:20" outlineLevel="4" x14ac:dyDescent="0.3">
      <c r="A88" s="8" t="s">
        <v>327</v>
      </c>
      <c r="B88" s="9">
        <v>45474</v>
      </c>
      <c r="C88" s="9" t="str">
        <f>TEXT(sorted_analysis!$B88,"MMMM")</f>
        <v>July</v>
      </c>
      <c r="D88" s="2" t="s">
        <v>328</v>
      </c>
      <c r="E88" s="2" t="s">
        <v>329</v>
      </c>
      <c r="F88" s="2" t="s">
        <v>40</v>
      </c>
      <c r="G88" s="2" t="s">
        <v>65</v>
      </c>
      <c r="H88" s="2" t="s">
        <v>42</v>
      </c>
      <c r="I88" s="2" t="s">
        <v>330</v>
      </c>
      <c r="J88" s="2">
        <v>1</v>
      </c>
      <c r="K88" s="2">
        <v>39.99</v>
      </c>
      <c r="L88" s="2">
        <f>sorted_analysis!$K88*sorted_analysis!$J88</f>
        <v>39.99</v>
      </c>
      <c r="M88" s="2">
        <v>5</v>
      </c>
      <c r="N88" s="2">
        <f>sorted_analysis!$L88*(sorted_analysis!$M88/100)</f>
        <v>1.9995000000000003</v>
      </c>
      <c r="O88" s="2">
        <f>sorted_analysis!$L88-sorted_analysis!$N88</f>
        <v>37.990500000000004</v>
      </c>
      <c r="P88" s="2">
        <v>6.5</v>
      </c>
      <c r="Q88" s="2">
        <f>SUM(sorted_analysis!$O88+sorted_analysis!$P88)</f>
        <v>44.490500000000004</v>
      </c>
      <c r="R88" s="2" t="str">
        <f>IF(sorted_analysis!$Q88&gt;200,"High Value",IF(sorted_analysis!$Q88&gt;100,"Medium Value","Low Value"))</f>
        <v>Low Value</v>
      </c>
      <c r="S88" s="2" t="s">
        <v>44</v>
      </c>
      <c r="T88" s="2" t="s">
        <v>22</v>
      </c>
    </row>
    <row r="89" spans="1:20" outlineLevel="4" x14ac:dyDescent="0.3">
      <c r="A89" s="10" t="s">
        <v>343</v>
      </c>
      <c r="B89" s="11">
        <v>45483</v>
      </c>
      <c r="C89" s="11" t="str">
        <f>TEXT(sorted_analysis!$B89,"MMMM")</f>
        <v>July</v>
      </c>
      <c r="D89" s="12" t="s">
        <v>344</v>
      </c>
      <c r="E89" s="12" t="s">
        <v>345</v>
      </c>
      <c r="F89" s="12" t="s">
        <v>40</v>
      </c>
      <c r="G89" s="12" t="s">
        <v>104</v>
      </c>
      <c r="H89" s="12" t="s">
        <v>42</v>
      </c>
      <c r="I89" s="12" t="s">
        <v>346</v>
      </c>
      <c r="J89" s="12">
        <v>3</v>
      </c>
      <c r="K89" s="12">
        <v>19.989999999999998</v>
      </c>
      <c r="L89" s="12">
        <f>sorted_analysis!$K89*sorted_analysis!$J89</f>
        <v>59.97</v>
      </c>
      <c r="M89" s="12">
        <v>25</v>
      </c>
      <c r="N89" s="12">
        <f>sorted_analysis!$L89*(sorted_analysis!$M89/100)</f>
        <v>14.9925</v>
      </c>
      <c r="O89" s="12">
        <f>sorted_analysis!$L89-sorted_analysis!$N89</f>
        <v>44.977499999999999</v>
      </c>
      <c r="P89" s="12">
        <v>5.5</v>
      </c>
      <c r="Q89" s="12">
        <f>SUM(sorted_analysis!$O89+sorted_analysis!$P89)</f>
        <v>50.477499999999999</v>
      </c>
      <c r="R89" s="12" t="str">
        <f>IF(sorted_analysis!$Q89&gt;200,"High Value",IF(sorted_analysis!$Q89&gt;100,"Medium Value","Low Value"))</f>
        <v>Low Value</v>
      </c>
      <c r="S89" s="12" t="s">
        <v>21</v>
      </c>
      <c r="T89" s="12" t="s">
        <v>22</v>
      </c>
    </row>
    <row r="90" spans="1:20" outlineLevel="4" x14ac:dyDescent="0.3">
      <c r="A90" s="8" t="s">
        <v>118</v>
      </c>
      <c r="B90" s="9">
        <v>45342</v>
      </c>
      <c r="C90" s="9" t="str">
        <f>TEXT(sorted_analysis!$B90,"MMMM")</f>
        <v>February</v>
      </c>
      <c r="D90" s="2" t="s">
        <v>119</v>
      </c>
      <c r="E90" s="2" t="s">
        <v>120</v>
      </c>
      <c r="F90" s="2" t="s">
        <v>40</v>
      </c>
      <c r="G90" s="2" t="s">
        <v>121</v>
      </c>
      <c r="H90" s="2" t="s">
        <v>19</v>
      </c>
      <c r="I90" s="2" t="s">
        <v>122</v>
      </c>
      <c r="J90" s="2">
        <v>6</v>
      </c>
      <c r="K90" s="2">
        <v>9.99</v>
      </c>
      <c r="L90" s="2">
        <f>sorted_analysis!$K90*sorted_analysis!$J90</f>
        <v>59.94</v>
      </c>
      <c r="M90" s="2">
        <v>15</v>
      </c>
      <c r="N90" s="2">
        <f>sorted_analysis!$L90*(sorted_analysis!$M90/100)</f>
        <v>8.9909999999999997</v>
      </c>
      <c r="O90" s="2">
        <f>sorted_analysis!$L90-sorted_analysis!$N90</f>
        <v>50.948999999999998</v>
      </c>
      <c r="P90" s="2">
        <v>2.99</v>
      </c>
      <c r="Q90" s="2">
        <f>SUM(sorted_analysis!$O90+sorted_analysis!$P90)</f>
        <v>53.939</v>
      </c>
      <c r="R90" s="2" t="str">
        <f>IF(sorted_analysis!$Q90&gt;200,"High Value",IF(sorted_analysis!$Q90&gt;100,"Medium Value","Low Value"))</f>
        <v>Low Value</v>
      </c>
      <c r="S90" s="2" t="s">
        <v>30</v>
      </c>
      <c r="T90" s="2" t="s">
        <v>61</v>
      </c>
    </row>
    <row r="91" spans="1:20" outlineLevel="4" x14ac:dyDescent="0.3">
      <c r="A91" s="10" t="s">
        <v>37</v>
      </c>
      <c r="B91" s="11">
        <v>45301</v>
      </c>
      <c r="C91" s="11" t="str">
        <f>TEXT(sorted_analysis!$B91,"MMMM")</f>
        <v>January</v>
      </c>
      <c r="D91" s="12" t="s">
        <v>38</v>
      </c>
      <c r="E91" s="12" t="s">
        <v>39</v>
      </c>
      <c r="F91" s="12" t="s">
        <v>40</v>
      </c>
      <c r="G91" s="12" t="s">
        <v>41</v>
      </c>
      <c r="H91" s="12" t="s">
        <v>42</v>
      </c>
      <c r="I91" s="12" t="s">
        <v>43</v>
      </c>
      <c r="J91" s="12">
        <v>3</v>
      </c>
      <c r="K91" s="12">
        <v>19.989999999999998</v>
      </c>
      <c r="L91" s="12">
        <f>sorted_analysis!$K91*sorted_analysis!$J91</f>
        <v>59.97</v>
      </c>
      <c r="M91" s="12">
        <v>20</v>
      </c>
      <c r="N91" s="12">
        <f>sorted_analysis!$L91*(sorted_analysis!$M91/100)</f>
        <v>11.994</v>
      </c>
      <c r="O91" s="12">
        <f>sorted_analysis!$L91-sorted_analysis!$N91</f>
        <v>47.975999999999999</v>
      </c>
      <c r="P91" s="12">
        <v>6.5</v>
      </c>
      <c r="Q91" s="12">
        <f>SUM(sorted_analysis!$O91+sorted_analysis!$P91)</f>
        <v>54.475999999999999</v>
      </c>
      <c r="R91" s="12" t="str">
        <f>IF(sorted_analysis!$Q91&gt;200,"High Value",IF(sorted_analysis!$Q91&gt;100,"Medium Value","Low Value"))</f>
        <v>Low Value</v>
      </c>
      <c r="S91" s="12" t="s">
        <v>44</v>
      </c>
      <c r="T91" s="12" t="s">
        <v>22</v>
      </c>
    </row>
    <row r="92" spans="1:20" outlineLevel="4" x14ac:dyDescent="0.3">
      <c r="A92" s="8" t="s">
        <v>295</v>
      </c>
      <c r="B92" s="9">
        <v>45453</v>
      </c>
      <c r="C92" s="9" t="str">
        <f>TEXT(sorted_analysis!$B92,"MMMM")</f>
        <v>June</v>
      </c>
      <c r="D92" s="2" t="s">
        <v>296</v>
      </c>
      <c r="E92" s="2" t="s">
        <v>297</v>
      </c>
      <c r="F92" s="2" t="s">
        <v>40</v>
      </c>
      <c r="G92" s="2" t="s">
        <v>121</v>
      </c>
      <c r="H92" s="2" t="s">
        <v>59</v>
      </c>
      <c r="I92" s="2" t="s">
        <v>298</v>
      </c>
      <c r="J92" s="2">
        <v>1</v>
      </c>
      <c r="K92" s="2">
        <v>54.99</v>
      </c>
      <c r="L92" s="2">
        <f>sorted_analysis!$K92*sorted_analysis!$J92</f>
        <v>54.99</v>
      </c>
      <c r="M92" s="2">
        <v>10</v>
      </c>
      <c r="N92" s="2">
        <f>sorted_analysis!$L92*(sorted_analysis!$M92/100)</f>
        <v>5.4990000000000006</v>
      </c>
      <c r="O92" s="2">
        <f>sorted_analysis!$L92-sorted_analysis!$N92</f>
        <v>49.491</v>
      </c>
      <c r="P92" s="2">
        <v>4.99</v>
      </c>
      <c r="Q92" s="2">
        <f>SUM(sorted_analysis!$O92+sorted_analysis!$P92)</f>
        <v>54.481000000000002</v>
      </c>
      <c r="R92" s="2" t="str">
        <f>IF(sorted_analysis!$Q92&gt;200,"High Value",IF(sorted_analysis!$Q92&gt;100,"Medium Value","Low Value"))</f>
        <v>Low Value</v>
      </c>
      <c r="S92" s="2" t="s">
        <v>21</v>
      </c>
      <c r="T92" s="2" t="s">
        <v>22</v>
      </c>
    </row>
    <row r="93" spans="1:20" outlineLevel="4" x14ac:dyDescent="0.3">
      <c r="A93" s="10" t="s">
        <v>423</v>
      </c>
      <c r="B93" s="11">
        <v>45536</v>
      </c>
      <c r="C93" s="11" t="str">
        <f>TEXT(sorted_analysis!$B93,"MMMM")</f>
        <v>September</v>
      </c>
      <c r="D93" s="12" t="s">
        <v>424</v>
      </c>
      <c r="E93" s="12" t="s">
        <v>425</v>
      </c>
      <c r="F93" s="12" t="s">
        <v>40</v>
      </c>
      <c r="G93" s="12" t="s">
        <v>104</v>
      </c>
      <c r="H93" s="12" t="s">
        <v>59</v>
      </c>
      <c r="I93" s="12" t="s">
        <v>426</v>
      </c>
      <c r="J93" s="12">
        <v>3</v>
      </c>
      <c r="K93" s="12">
        <v>19.989999999999998</v>
      </c>
      <c r="L93" s="12">
        <f>sorted_analysis!$K93*sorted_analysis!$J93</f>
        <v>59.97</v>
      </c>
      <c r="M93" s="12">
        <v>0</v>
      </c>
      <c r="N93" s="12">
        <f>sorted_analysis!$L93*(sorted_analysis!$M93/100)</f>
        <v>0</v>
      </c>
      <c r="O93" s="12">
        <f>sorted_analysis!$L93-sorted_analysis!$N93</f>
        <v>59.97</v>
      </c>
      <c r="P93" s="12">
        <v>4.99</v>
      </c>
      <c r="Q93" s="12">
        <f>SUM(sorted_analysis!$O93+sorted_analysis!$P93)</f>
        <v>64.959999999999994</v>
      </c>
      <c r="R93" s="12" t="str">
        <f>IF(sorted_analysis!$Q93&gt;200,"High Value",IF(sorted_analysis!$Q93&gt;100,"Medium Value","Low Value"))</f>
        <v>Low Value</v>
      </c>
      <c r="S93" s="12" t="s">
        <v>44</v>
      </c>
      <c r="T93" s="12" t="s">
        <v>22</v>
      </c>
    </row>
    <row r="94" spans="1:20" outlineLevel="4" x14ac:dyDescent="0.3">
      <c r="A94" s="8" t="s">
        <v>279</v>
      </c>
      <c r="B94" s="9">
        <v>45444</v>
      </c>
      <c r="C94" s="9" t="str">
        <f>TEXT(sorted_analysis!$B94,"MMMM")</f>
        <v>June</v>
      </c>
      <c r="D94" s="2" t="s">
        <v>280</v>
      </c>
      <c r="E94" s="2" t="s">
        <v>281</v>
      </c>
      <c r="F94" s="2" t="s">
        <v>40</v>
      </c>
      <c r="G94" s="2" t="s">
        <v>41</v>
      </c>
      <c r="H94" s="2" t="s">
        <v>59</v>
      </c>
      <c r="I94" s="2" t="s">
        <v>282</v>
      </c>
      <c r="J94" s="2">
        <v>1</v>
      </c>
      <c r="K94" s="2">
        <v>59.99</v>
      </c>
      <c r="L94" s="2">
        <f>sorted_analysis!$K94*sorted_analysis!$J94</f>
        <v>59.99</v>
      </c>
      <c r="M94" s="2">
        <v>0</v>
      </c>
      <c r="N94" s="2">
        <f>sorted_analysis!$L94*(sorted_analysis!$M94/100)</f>
        <v>0</v>
      </c>
      <c r="O94" s="2">
        <f>sorted_analysis!$L94-sorted_analysis!$N94</f>
        <v>59.99</v>
      </c>
      <c r="P94" s="2">
        <v>5.99</v>
      </c>
      <c r="Q94" s="2">
        <f>SUM(sorted_analysis!$O94+sorted_analysis!$P94)</f>
        <v>65.98</v>
      </c>
      <c r="R94" s="2" t="str">
        <f>IF(sorted_analysis!$Q94&gt;200,"High Value",IF(sorted_analysis!$Q94&gt;100,"Medium Value","Low Value"))</f>
        <v>Low Value</v>
      </c>
      <c r="S94" s="2" t="s">
        <v>21</v>
      </c>
      <c r="T94" s="2" t="s">
        <v>22</v>
      </c>
    </row>
    <row r="95" spans="1:20" outlineLevel="4" x14ac:dyDescent="0.3">
      <c r="A95" s="10" t="s">
        <v>199</v>
      </c>
      <c r="B95" s="11">
        <v>45392</v>
      </c>
      <c r="C95" s="11" t="str">
        <f>TEXT(sorted_analysis!$B95,"MMMM")</f>
        <v>April</v>
      </c>
      <c r="D95" s="12" t="s">
        <v>200</v>
      </c>
      <c r="E95" s="12" t="s">
        <v>201</v>
      </c>
      <c r="F95" s="12" t="s">
        <v>40</v>
      </c>
      <c r="G95" s="12" t="s">
        <v>41</v>
      </c>
      <c r="H95" s="12" t="s">
        <v>42</v>
      </c>
      <c r="I95" s="12" t="s">
        <v>202</v>
      </c>
      <c r="J95" s="12">
        <v>2</v>
      </c>
      <c r="K95" s="12">
        <v>39.99</v>
      </c>
      <c r="L95" s="12">
        <f>sorted_analysis!$K95*sorted_analysis!$J95</f>
        <v>79.98</v>
      </c>
      <c r="M95" s="12">
        <v>20</v>
      </c>
      <c r="N95" s="12">
        <f>sorted_analysis!$L95*(sorted_analysis!$M95/100)</f>
        <v>15.996000000000002</v>
      </c>
      <c r="O95" s="12">
        <f>sorted_analysis!$L95-sorted_analysis!$N95</f>
        <v>63.984000000000002</v>
      </c>
      <c r="P95" s="12">
        <v>6.99</v>
      </c>
      <c r="Q95" s="12">
        <f>SUM(sorted_analysis!$O95+sorted_analysis!$P95)</f>
        <v>70.974000000000004</v>
      </c>
      <c r="R95" s="12" t="str">
        <f>IF(sorted_analysis!$Q95&gt;200,"High Value",IF(sorted_analysis!$Q95&gt;100,"Medium Value","Low Value"))</f>
        <v>Low Value</v>
      </c>
      <c r="S95" s="12" t="s">
        <v>44</v>
      </c>
      <c r="T95" s="12" t="s">
        <v>22</v>
      </c>
    </row>
    <row r="96" spans="1:20" outlineLevel="4" x14ac:dyDescent="0.3">
      <c r="A96" s="8" t="s">
        <v>82</v>
      </c>
      <c r="B96" s="9">
        <v>45323</v>
      </c>
      <c r="C96" s="9" t="str">
        <f>TEXT(sorted_analysis!$B96,"MMMM")</f>
        <v>February</v>
      </c>
      <c r="D96" s="2" t="s">
        <v>83</v>
      </c>
      <c r="E96" s="2" t="s">
        <v>84</v>
      </c>
      <c r="F96" s="2" t="s">
        <v>40</v>
      </c>
      <c r="G96" s="2" t="s">
        <v>85</v>
      </c>
      <c r="H96" s="2" t="s">
        <v>28</v>
      </c>
      <c r="I96" s="2" t="s">
        <v>86</v>
      </c>
      <c r="J96" s="2">
        <v>3</v>
      </c>
      <c r="K96" s="2">
        <v>24.99</v>
      </c>
      <c r="L96" s="2">
        <f>sorted_analysis!$K96*sorted_analysis!$J96</f>
        <v>74.97</v>
      </c>
      <c r="M96" s="2">
        <v>0</v>
      </c>
      <c r="N96" s="2">
        <f>sorted_analysis!$L96*(sorted_analysis!$M96/100)</f>
        <v>0</v>
      </c>
      <c r="O96" s="2">
        <f>sorted_analysis!$L96-sorted_analysis!$N96</f>
        <v>74.97</v>
      </c>
      <c r="P96" s="2">
        <v>5.99</v>
      </c>
      <c r="Q96" s="2">
        <f>SUM(sorted_analysis!$O96+sorted_analysis!$P96)</f>
        <v>80.959999999999994</v>
      </c>
      <c r="R96" s="2" t="str">
        <f>IF(sorted_analysis!$Q96&gt;200,"High Value",IF(sorted_analysis!$Q96&gt;100,"Medium Value","Low Value"))</f>
        <v>Low Value</v>
      </c>
      <c r="S96" s="2" t="s">
        <v>30</v>
      </c>
      <c r="T96" s="2" t="s">
        <v>22</v>
      </c>
    </row>
    <row r="97" spans="1:20" outlineLevel="4" x14ac:dyDescent="0.3">
      <c r="A97" s="10" t="s">
        <v>311</v>
      </c>
      <c r="B97" s="11">
        <v>45463</v>
      </c>
      <c r="C97" s="11" t="str">
        <f>TEXT(sorted_analysis!$B97,"MMMM")</f>
        <v>June</v>
      </c>
      <c r="D97" s="12" t="s">
        <v>312</v>
      </c>
      <c r="E97" s="12" t="s">
        <v>313</v>
      </c>
      <c r="F97" s="12" t="s">
        <v>40</v>
      </c>
      <c r="G97" s="12" t="s">
        <v>85</v>
      </c>
      <c r="H97" s="12" t="s">
        <v>19</v>
      </c>
      <c r="I97" s="12" t="s">
        <v>314</v>
      </c>
      <c r="J97" s="12">
        <v>1</v>
      </c>
      <c r="K97" s="12">
        <v>89.99</v>
      </c>
      <c r="L97" s="12">
        <f>sorted_analysis!$K97*sorted_analysis!$J97</f>
        <v>89.99</v>
      </c>
      <c r="M97" s="12">
        <v>20</v>
      </c>
      <c r="N97" s="12">
        <f>sorted_analysis!$L97*(sorted_analysis!$M97/100)</f>
        <v>17.998000000000001</v>
      </c>
      <c r="O97" s="12">
        <f>sorted_analysis!$L97-sorted_analysis!$N97</f>
        <v>71.99199999999999</v>
      </c>
      <c r="P97" s="12">
        <v>9.99</v>
      </c>
      <c r="Q97" s="12">
        <f>SUM(sorted_analysis!$O97+sorted_analysis!$P97)</f>
        <v>81.981999999999985</v>
      </c>
      <c r="R97" s="12" t="str">
        <f>IF(sorted_analysis!$Q97&gt;200,"High Value",IF(sorted_analysis!$Q97&gt;100,"Medium Value","Low Value"))</f>
        <v>Low Value</v>
      </c>
      <c r="S97" s="12" t="s">
        <v>44</v>
      </c>
      <c r="T97" s="12" t="s">
        <v>22</v>
      </c>
    </row>
    <row r="98" spans="1:20" outlineLevel="4" x14ac:dyDescent="0.3">
      <c r="A98" s="8" t="s">
        <v>183</v>
      </c>
      <c r="B98" s="9">
        <v>45383</v>
      </c>
      <c r="C98" s="9" t="str">
        <f>TEXT(sorted_analysis!$B98,"MMMM")</f>
        <v>April</v>
      </c>
      <c r="D98" s="2" t="s">
        <v>184</v>
      </c>
      <c r="E98" s="2" t="s">
        <v>185</v>
      </c>
      <c r="F98" s="2" t="s">
        <v>40</v>
      </c>
      <c r="G98" s="2" t="s">
        <v>104</v>
      </c>
      <c r="H98" s="2" t="s">
        <v>42</v>
      </c>
      <c r="I98" s="2" t="s">
        <v>186</v>
      </c>
      <c r="J98" s="2">
        <v>2</v>
      </c>
      <c r="K98" s="2">
        <v>49.99</v>
      </c>
      <c r="L98" s="2">
        <f>sorted_analysis!$K98*sorted_analysis!$J98</f>
        <v>99.98</v>
      </c>
      <c r="M98" s="2">
        <v>25</v>
      </c>
      <c r="N98" s="2">
        <f>sorted_analysis!$L98*(sorted_analysis!$M98/100)</f>
        <v>24.995000000000001</v>
      </c>
      <c r="O98" s="2">
        <f>sorted_analysis!$L98-sorted_analysis!$N98</f>
        <v>74.984999999999999</v>
      </c>
      <c r="P98" s="2">
        <v>7.5</v>
      </c>
      <c r="Q98" s="2">
        <f>SUM(sorted_analysis!$O98+sorted_analysis!$P98)</f>
        <v>82.484999999999999</v>
      </c>
      <c r="R98" s="2" t="str">
        <f>IF(sorted_analysis!$Q98&gt;200,"High Value",IF(sorted_analysis!$Q98&gt;100,"Medium Value","Low Value"))</f>
        <v>Low Value</v>
      </c>
      <c r="S98" s="2" t="s">
        <v>21</v>
      </c>
      <c r="T98" s="2" t="s">
        <v>22</v>
      </c>
    </row>
    <row r="99" spans="1:20" outlineLevel="4" x14ac:dyDescent="0.3">
      <c r="A99" s="10" t="s">
        <v>391</v>
      </c>
      <c r="B99" s="11">
        <v>45514</v>
      </c>
      <c r="C99" s="11" t="str">
        <f>TEXT(sorted_analysis!$B99,"MMMM")</f>
        <v>August</v>
      </c>
      <c r="D99" s="12" t="s">
        <v>392</v>
      </c>
      <c r="E99" s="12" t="s">
        <v>393</v>
      </c>
      <c r="F99" s="12" t="s">
        <v>40</v>
      </c>
      <c r="G99" s="12" t="s">
        <v>121</v>
      </c>
      <c r="H99" s="12" t="s">
        <v>28</v>
      </c>
      <c r="I99" s="12" t="s">
        <v>394</v>
      </c>
      <c r="J99" s="12">
        <v>2</v>
      </c>
      <c r="K99" s="12">
        <v>44.99</v>
      </c>
      <c r="L99" s="12">
        <f>sorted_analysis!$K99*sorted_analysis!$J99</f>
        <v>89.98</v>
      </c>
      <c r="M99" s="12">
        <v>15</v>
      </c>
      <c r="N99" s="12">
        <f>sorted_analysis!$L99*(sorted_analysis!$M99/100)</f>
        <v>13.497</v>
      </c>
      <c r="O99" s="12">
        <f>sorted_analysis!$L99-sorted_analysis!$N99</f>
        <v>76.483000000000004</v>
      </c>
      <c r="P99" s="12">
        <v>6.5</v>
      </c>
      <c r="Q99" s="12">
        <f>SUM(sorted_analysis!$O99+sorted_analysis!$P99)</f>
        <v>82.983000000000004</v>
      </c>
      <c r="R99" s="12" t="str">
        <f>IF(sorted_analysis!$Q99&gt;200,"High Value",IF(sorted_analysis!$Q99&gt;100,"Medium Value","Low Value"))</f>
        <v>Low Value</v>
      </c>
      <c r="S99" s="12" t="s">
        <v>21</v>
      </c>
      <c r="T99" s="12" t="s">
        <v>72</v>
      </c>
    </row>
    <row r="100" spans="1:20" outlineLevel="4" x14ac:dyDescent="0.3">
      <c r="A100" s="8" t="s">
        <v>439</v>
      </c>
      <c r="B100" s="9">
        <v>45545</v>
      </c>
      <c r="C100" s="9" t="str">
        <f>TEXT(sorted_analysis!$B100,"MMMM")</f>
        <v>September</v>
      </c>
      <c r="D100" s="2" t="s">
        <v>440</v>
      </c>
      <c r="E100" s="2" t="s">
        <v>441</v>
      </c>
      <c r="F100" s="2" t="s">
        <v>40</v>
      </c>
      <c r="G100" s="2" t="s">
        <v>41</v>
      </c>
      <c r="H100" s="2" t="s">
        <v>59</v>
      </c>
      <c r="I100" s="2" t="s">
        <v>442</v>
      </c>
      <c r="J100" s="2">
        <v>2</v>
      </c>
      <c r="K100" s="2">
        <v>44.99</v>
      </c>
      <c r="L100" s="2">
        <f>sorted_analysis!$K100*sorted_analysis!$J100</f>
        <v>89.98</v>
      </c>
      <c r="M100" s="2">
        <v>10</v>
      </c>
      <c r="N100" s="2">
        <f>sorted_analysis!$L100*(sorted_analysis!$M100/100)</f>
        <v>8.9980000000000011</v>
      </c>
      <c r="O100" s="2">
        <f>sorted_analysis!$L100-sorted_analysis!$N100</f>
        <v>80.981999999999999</v>
      </c>
      <c r="P100" s="2">
        <v>5.5</v>
      </c>
      <c r="Q100" s="2">
        <f>SUM(sorted_analysis!$O100+sorted_analysis!$P100)</f>
        <v>86.481999999999999</v>
      </c>
      <c r="R100" s="2" t="str">
        <f>IF(sorted_analysis!$Q100&gt;200,"High Value",IF(sorted_analysis!$Q100&gt;100,"Medium Value","Low Value"))</f>
        <v>Low Value</v>
      </c>
      <c r="S100" s="2" t="s">
        <v>21</v>
      </c>
      <c r="T100" s="2" t="s">
        <v>22</v>
      </c>
    </row>
    <row r="101" spans="1:20" outlineLevel="4" x14ac:dyDescent="0.3">
      <c r="A101" s="10" t="s">
        <v>231</v>
      </c>
      <c r="B101" s="11">
        <v>45413</v>
      </c>
      <c r="C101" s="11" t="str">
        <f>TEXT(sorted_analysis!$B101,"MMMM")</f>
        <v>May</v>
      </c>
      <c r="D101" s="12" t="s">
        <v>232</v>
      </c>
      <c r="E101" s="12" t="s">
        <v>233</v>
      </c>
      <c r="F101" s="12" t="s">
        <v>40</v>
      </c>
      <c r="G101" s="12" t="s">
        <v>85</v>
      </c>
      <c r="H101" s="12" t="s">
        <v>28</v>
      </c>
      <c r="I101" s="12" t="s">
        <v>234</v>
      </c>
      <c r="J101" s="12">
        <v>2</v>
      </c>
      <c r="K101" s="12">
        <v>44.99</v>
      </c>
      <c r="L101" s="12">
        <f>sorted_analysis!$K101*sorted_analysis!$J101</f>
        <v>89.98</v>
      </c>
      <c r="M101" s="12">
        <v>10</v>
      </c>
      <c r="N101" s="12">
        <f>sorted_analysis!$L101*(sorted_analysis!$M101/100)</f>
        <v>8.9980000000000011</v>
      </c>
      <c r="O101" s="12">
        <f>sorted_analysis!$L101-sorted_analysis!$N101</f>
        <v>80.981999999999999</v>
      </c>
      <c r="P101" s="12">
        <v>6.99</v>
      </c>
      <c r="Q101" s="12">
        <f>SUM(sorted_analysis!$O101+sorted_analysis!$P101)</f>
        <v>87.971999999999994</v>
      </c>
      <c r="R101" s="12" t="str">
        <f>IF(sorted_analysis!$Q101&gt;200,"High Value",IF(sorted_analysis!$Q101&gt;100,"Medium Value","Low Value"))</f>
        <v>Low Value</v>
      </c>
      <c r="S101" s="12" t="s">
        <v>21</v>
      </c>
      <c r="T101" s="12" t="s">
        <v>22</v>
      </c>
    </row>
    <row r="102" spans="1:20" outlineLevel="4" x14ac:dyDescent="0.3">
      <c r="A102" s="8" t="s">
        <v>135</v>
      </c>
      <c r="B102" s="9">
        <v>45352</v>
      </c>
      <c r="C102" s="9" t="str">
        <f>TEXT(sorted_analysis!$B102,"MMMM")</f>
        <v>March</v>
      </c>
      <c r="D102" s="2" t="s">
        <v>136</v>
      </c>
      <c r="E102" s="2" t="s">
        <v>137</v>
      </c>
      <c r="F102" s="2" t="s">
        <v>40</v>
      </c>
      <c r="G102" s="2" t="s">
        <v>41</v>
      </c>
      <c r="H102" s="2" t="s">
        <v>59</v>
      </c>
      <c r="I102" s="2" t="s">
        <v>138</v>
      </c>
      <c r="J102" s="2">
        <v>3</v>
      </c>
      <c r="K102" s="2">
        <v>29.99</v>
      </c>
      <c r="L102" s="2">
        <f>sorted_analysis!$K102*sorted_analysis!$J102</f>
        <v>89.97</v>
      </c>
      <c r="M102" s="2">
        <v>5</v>
      </c>
      <c r="N102" s="2">
        <f>sorted_analysis!$L102*(sorted_analysis!$M102/100)</f>
        <v>4.4984999999999999</v>
      </c>
      <c r="O102" s="2">
        <f>sorted_analysis!$L102-sorted_analysis!$N102</f>
        <v>85.471499999999992</v>
      </c>
      <c r="P102" s="2">
        <v>4.5</v>
      </c>
      <c r="Q102" s="2">
        <f>SUM(sorted_analysis!$O102+sorted_analysis!$P102)</f>
        <v>89.971499999999992</v>
      </c>
      <c r="R102" s="2" t="str">
        <f>IF(sorted_analysis!$Q102&gt;200,"High Value",IF(sorted_analysis!$Q102&gt;100,"Medium Value","Low Value"))</f>
        <v>Low Value</v>
      </c>
      <c r="S102" s="2" t="s">
        <v>30</v>
      </c>
      <c r="T102" s="2" t="s">
        <v>22</v>
      </c>
    </row>
    <row r="103" spans="1:20" outlineLevel="4" x14ac:dyDescent="0.3">
      <c r="A103" s="10" t="s">
        <v>62</v>
      </c>
      <c r="B103" s="11">
        <v>45311</v>
      </c>
      <c r="C103" s="11" t="str">
        <f>TEXT(sorted_analysis!$B103,"MMMM")</f>
        <v>January</v>
      </c>
      <c r="D103" s="12" t="s">
        <v>63</v>
      </c>
      <c r="E103" s="12" t="s">
        <v>64</v>
      </c>
      <c r="F103" s="12" t="s">
        <v>40</v>
      </c>
      <c r="G103" s="12" t="s">
        <v>65</v>
      </c>
      <c r="H103" s="12" t="s">
        <v>42</v>
      </c>
      <c r="I103" s="12" t="s">
        <v>66</v>
      </c>
      <c r="J103" s="12">
        <v>2</v>
      </c>
      <c r="K103" s="12">
        <v>59.99</v>
      </c>
      <c r="L103" s="12">
        <f>sorted_analysis!$K103*sorted_analysis!$J103</f>
        <v>119.98</v>
      </c>
      <c r="M103" s="12">
        <v>15</v>
      </c>
      <c r="N103" s="12">
        <f>sorted_analysis!$L103*(sorted_analysis!$M103/100)</f>
        <v>17.997</v>
      </c>
      <c r="O103" s="12">
        <f>sorted_analysis!$L103-sorted_analysis!$N103</f>
        <v>101.983</v>
      </c>
      <c r="P103" s="12">
        <v>7.99</v>
      </c>
      <c r="Q103" s="12">
        <f>SUM(sorted_analysis!$O103+sorted_analysis!$P103)</f>
        <v>109.973</v>
      </c>
      <c r="R103" s="12" t="str">
        <f>IF(sorted_analysis!$Q103&gt;200,"High Value",IF(sorted_analysis!$Q103&gt;100,"Medium Value","Low Value"))</f>
        <v>Medium Value</v>
      </c>
      <c r="S103" s="12" t="s">
        <v>21</v>
      </c>
      <c r="T103" s="12" t="s">
        <v>22</v>
      </c>
    </row>
    <row r="104" spans="1:20" outlineLevel="4" x14ac:dyDescent="0.3">
      <c r="A104" s="8" t="s">
        <v>375</v>
      </c>
      <c r="B104" s="9">
        <v>45505</v>
      </c>
      <c r="C104" s="9" t="str">
        <f>TEXT(sorted_analysis!$B104,"MMMM")</f>
        <v>August</v>
      </c>
      <c r="D104" s="2" t="s">
        <v>376</v>
      </c>
      <c r="E104" s="2" t="s">
        <v>377</v>
      </c>
      <c r="F104" s="2" t="s">
        <v>40</v>
      </c>
      <c r="G104" s="2" t="s">
        <v>85</v>
      </c>
      <c r="H104" s="2" t="s">
        <v>28</v>
      </c>
      <c r="I104" s="2" t="s">
        <v>378</v>
      </c>
      <c r="J104" s="2">
        <v>3</v>
      </c>
      <c r="K104" s="2">
        <v>39.99</v>
      </c>
      <c r="L104" s="2">
        <f>sorted_analysis!$K104*sorted_analysis!$J104</f>
        <v>119.97</v>
      </c>
      <c r="M104" s="2">
        <v>10</v>
      </c>
      <c r="N104" s="2">
        <f>sorted_analysis!$L104*(sorted_analysis!$M104/100)</f>
        <v>11.997</v>
      </c>
      <c r="O104" s="2">
        <f>sorted_analysis!$L104-sorted_analysis!$N104</f>
        <v>107.973</v>
      </c>
      <c r="P104" s="2">
        <v>6.99</v>
      </c>
      <c r="Q104" s="2">
        <f>SUM(sorted_analysis!$O104+sorted_analysis!$P104)</f>
        <v>114.96299999999999</v>
      </c>
      <c r="R104" s="2" t="str">
        <f>IF(sorted_analysis!$Q104&gt;200,"High Value",IF(sorted_analysis!$Q104&gt;100,"Medium Value","Low Value"))</f>
        <v>Medium Value</v>
      </c>
      <c r="S104" s="2" t="s">
        <v>30</v>
      </c>
      <c r="T104" s="2" t="s">
        <v>22</v>
      </c>
    </row>
    <row r="105" spans="1:20" outlineLevel="4" x14ac:dyDescent="0.3">
      <c r="A105" s="10" t="s">
        <v>359</v>
      </c>
      <c r="B105" s="11">
        <v>45493</v>
      </c>
      <c r="C105" s="11" t="str">
        <f>TEXT(sorted_analysis!$B105,"MMMM")</f>
        <v>July</v>
      </c>
      <c r="D105" s="12" t="s">
        <v>360</v>
      </c>
      <c r="E105" s="12" t="s">
        <v>361</v>
      </c>
      <c r="F105" s="12" t="s">
        <v>40</v>
      </c>
      <c r="G105" s="12" t="s">
        <v>41</v>
      </c>
      <c r="H105" s="12" t="s">
        <v>19</v>
      </c>
      <c r="I105" s="12" t="s">
        <v>362</v>
      </c>
      <c r="J105" s="12">
        <v>1</v>
      </c>
      <c r="K105" s="12">
        <v>129.99</v>
      </c>
      <c r="L105" s="12">
        <f>sorted_analysis!$K105*sorted_analysis!$J105</f>
        <v>129.99</v>
      </c>
      <c r="M105" s="12">
        <v>20</v>
      </c>
      <c r="N105" s="12">
        <f>sorted_analysis!$L105*(sorted_analysis!$M105/100)</f>
        <v>25.998000000000005</v>
      </c>
      <c r="O105" s="12">
        <f>sorted_analysis!$L105-sorted_analysis!$N105</f>
        <v>103.992</v>
      </c>
      <c r="P105" s="12">
        <v>10.99</v>
      </c>
      <c r="Q105" s="12">
        <f>SUM(sorted_analysis!$O105+sorted_analysis!$P105)</f>
        <v>114.982</v>
      </c>
      <c r="R105" s="12" t="str">
        <f>IF(sorted_analysis!$Q105&gt;200,"High Value",IF(sorted_analysis!$Q105&gt;100,"Medium Value","Low Value"))</f>
        <v>Medium Value</v>
      </c>
      <c r="S105" s="12" t="s">
        <v>30</v>
      </c>
      <c r="T105" s="12" t="s">
        <v>22</v>
      </c>
    </row>
    <row r="106" spans="1:20" outlineLevel="4" x14ac:dyDescent="0.3">
      <c r="A106" s="8" t="s">
        <v>167</v>
      </c>
      <c r="B106" s="9">
        <v>45371</v>
      </c>
      <c r="C106" s="9" t="str">
        <f>TEXT(sorted_analysis!$B106,"MMMM")</f>
        <v>March</v>
      </c>
      <c r="D106" s="2" t="s">
        <v>168</v>
      </c>
      <c r="E106" s="2" t="s">
        <v>169</v>
      </c>
      <c r="F106" s="2" t="s">
        <v>40</v>
      </c>
      <c r="G106" s="2" t="s">
        <v>65</v>
      </c>
      <c r="H106" s="2" t="s">
        <v>19</v>
      </c>
      <c r="I106" s="2" t="s">
        <v>170</v>
      </c>
      <c r="J106" s="2">
        <v>2</v>
      </c>
      <c r="K106" s="2">
        <v>79.989999999999995</v>
      </c>
      <c r="L106" s="2">
        <f>sorted_analysis!$K106*sorted_analysis!$J106</f>
        <v>159.97999999999999</v>
      </c>
      <c r="M106" s="2">
        <v>20</v>
      </c>
      <c r="N106" s="2">
        <f>sorted_analysis!$L106*(sorted_analysis!$M106/100)</f>
        <v>31.995999999999999</v>
      </c>
      <c r="O106" s="2">
        <f>sorted_analysis!$L106-sorted_analysis!$N106</f>
        <v>127.98399999999999</v>
      </c>
      <c r="P106" s="2">
        <v>8.5</v>
      </c>
      <c r="Q106" s="2">
        <f>SUM(sorted_analysis!$O106+sorted_analysis!$P106)</f>
        <v>136.48399999999998</v>
      </c>
      <c r="R106" s="2" t="str">
        <f>IF(sorted_analysis!$Q106&gt;200,"High Value",IF(sorted_analysis!$Q106&gt;100,"Medium Value","Low Value"))</f>
        <v>Medium Value</v>
      </c>
      <c r="S106" s="2" t="s">
        <v>21</v>
      </c>
      <c r="T106" s="2" t="s">
        <v>22</v>
      </c>
    </row>
    <row r="107" spans="1:20" outlineLevel="4" x14ac:dyDescent="0.3">
      <c r="A107" s="10" t="s">
        <v>101</v>
      </c>
      <c r="B107" s="11">
        <v>45332</v>
      </c>
      <c r="C107" s="11" t="str">
        <f>TEXT(sorted_analysis!$B107,"MMMM")</f>
        <v>February</v>
      </c>
      <c r="D107" s="12" t="s">
        <v>102</v>
      </c>
      <c r="E107" s="12" t="s">
        <v>103</v>
      </c>
      <c r="F107" s="12" t="s">
        <v>40</v>
      </c>
      <c r="G107" s="12" t="s">
        <v>104</v>
      </c>
      <c r="H107" s="12" t="s">
        <v>28</v>
      </c>
      <c r="I107" s="12" t="s">
        <v>105</v>
      </c>
      <c r="J107" s="12">
        <v>4</v>
      </c>
      <c r="K107" s="12">
        <v>34.99</v>
      </c>
      <c r="L107" s="12">
        <f>sorted_analysis!$K107*sorted_analysis!$J107</f>
        <v>139.96</v>
      </c>
      <c r="M107" s="12">
        <v>5</v>
      </c>
      <c r="N107" s="12">
        <f>sorted_analysis!$L107*(sorted_analysis!$M107/100)</f>
        <v>6.9980000000000011</v>
      </c>
      <c r="O107" s="12">
        <f>sorted_analysis!$L107-sorted_analysis!$N107</f>
        <v>132.96200000000002</v>
      </c>
      <c r="P107" s="12">
        <v>7.5</v>
      </c>
      <c r="Q107" s="12">
        <f>SUM(sorted_analysis!$O107+sorted_analysis!$P107)</f>
        <v>140.46200000000002</v>
      </c>
      <c r="R107" s="12" t="str">
        <f>IF(sorted_analysis!$Q107&gt;200,"High Value",IF(sorted_analysis!$Q107&gt;100,"Medium Value","Low Value"))</f>
        <v>Medium Value</v>
      </c>
      <c r="S107" s="12" t="s">
        <v>30</v>
      </c>
      <c r="T107" s="12" t="s">
        <v>72</v>
      </c>
    </row>
    <row r="108" spans="1:20" outlineLevel="4" x14ac:dyDescent="0.3">
      <c r="A108" s="8" t="s">
        <v>263</v>
      </c>
      <c r="B108" s="9">
        <v>45432</v>
      </c>
      <c r="C108" s="9" t="str">
        <f>TEXT(sorted_analysis!$B108,"MMMM")</f>
        <v>May</v>
      </c>
      <c r="D108" s="2" t="s">
        <v>264</v>
      </c>
      <c r="E108" s="2" t="s">
        <v>265</v>
      </c>
      <c r="F108" s="2" t="s">
        <v>40</v>
      </c>
      <c r="G108" s="2" t="s">
        <v>104</v>
      </c>
      <c r="H108" s="2" t="s">
        <v>19</v>
      </c>
      <c r="I108" s="2" t="s">
        <v>266</v>
      </c>
      <c r="J108" s="2">
        <v>1</v>
      </c>
      <c r="K108" s="2">
        <v>149.99</v>
      </c>
      <c r="L108" s="2">
        <f>sorted_analysis!$K108*sorted_analysis!$J108</f>
        <v>149.99</v>
      </c>
      <c r="M108" s="2">
        <v>15</v>
      </c>
      <c r="N108" s="2">
        <f>sorted_analysis!$L108*(sorted_analysis!$M108/100)</f>
        <v>22.4985</v>
      </c>
      <c r="O108" s="2">
        <f>sorted_analysis!$L108-sorted_analysis!$N108</f>
        <v>127.4915</v>
      </c>
      <c r="P108" s="2">
        <v>12.99</v>
      </c>
      <c r="Q108" s="2">
        <f>SUM(sorted_analysis!$O108+sorted_analysis!$P108)</f>
        <v>140.48150000000001</v>
      </c>
      <c r="R108" s="2" t="str">
        <f>IF(sorted_analysis!$Q108&gt;200,"High Value",IF(sorted_analysis!$Q108&gt;100,"Medium Value","Low Value"))</f>
        <v>Medium Value</v>
      </c>
      <c r="S108" s="2" t="s">
        <v>30</v>
      </c>
      <c r="T108" s="2" t="s">
        <v>22</v>
      </c>
    </row>
    <row r="109" spans="1:20" outlineLevel="4" x14ac:dyDescent="0.3">
      <c r="A109" s="10" t="s">
        <v>247</v>
      </c>
      <c r="B109" s="11">
        <v>45422</v>
      </c>
      <c r="C109" s="11" t="str">
        <f>TEXT(sorted_analysis!$B109,"MMMM")</f>
        <v>May</v>
      </c>
      <c r="D109" s="12" t="s">
        <v>248</v>
      </c>
      <c r="E109" s="12" t="s">
        <v>249</v>
      </c>
      <c r="F109" s="12" t="s">
        <v>40</v>
      </c>
      <c r="G109" s="12" t="s">
        <v>65</v>
      </c>
      <c r="H109" s="12" t="s">
        <v>28</v>
      </c>
      <c r="I109" s="12" t="s">
        <v>250</v>
      </c>
      <c r="J109" s="12">
        <v>2</v>
      </c>
      <c r="K109" s="12">
        <v>79.989999999999995</v>
      </c>
      <c r="L109" s="12">
        <f>sorted_analysis!$K109*sorted_analysis!$J109</f>
        <v>159.97999999999999</v>
      </c>
      <c r="M109" s="12">
        <v>15</v>
      </c>
      <c r="N109" s="12">
        <f>sorted_analysis!$L109*(sorted_analysis!$M109/100)</f>
        <v>23.996999999999996</v>
      </c>
      <c r="O109" s="12">
        <f>sorted_analysis!$L109-sorted_analysis!$N109</f>
        <v>135.983</v>
      </c>
      <c r="P109" s="12">
        <v>9.99</v>
      </c>
      <c r="Q109" s="12">
        <f>SUM(sorted_analysis!$O109+sorted_analysis!$P109)</f>
        <v>145.97300000000001</v>
      </c>
      <c r="R109" s="12" t="str">
        <f>IF(sorted_analysis!$Q109&gt;200,"High Value",IF(sorted_analysis!$Q109&gt;100,"Medium Value","Low Value"))</f>
        <v>Medium Value</v>
      </c>
      <c r="S109" s="12" t="s">
        <v>30</v>
      </c>
      <c r="T109" s="12" t="s">
        <v>22</v>
      </c>
    </row>
    <row r="110" spans="1:20" outlineLevel="4" x14ac:dyDescent="0.3">
      <c r="A110" s="8" t="s">
        <v>407</v>
      </c>
      <c r="B110" s="9">
        <v>45524</v>
      </c>
      <c r="C110" s="9" t="str">
        <f>TEXT(sorted_analysis!$B110,"MMMM")</f>
        <v>August</v>
      </c>
      <c r="D110" s="2" t="s">
        <v>408</v>
      </c>
      <c r="E110" s="2" t="s">
        <v>409</v>
      </c>
      <c r="F110" s="2" t="s">
        <v>40</v>
      </c>
      <c r="G110" s="2" t="s">
        <v>65</v>
      </c>
      <c r="H110" s="2" t="s">
        <v>19</v>
      </c>
      <c r="I110" s="2" t="s">
        <v>410</v>
      </c>
      <c r="J110" s="2">
        <v>1</v>
      </c>
      <c r="K110" s="2">
        <v>179.99</v>
      </c>
      <c r="L110" s="2">
        <f>sorted_analysis!$K110*sorted_analysis!$J110</f>
        <v>179.99</v>
      </c>
      <c r="M110" s="2">
        <v>15</v>
      </c>
      <c r="N110" s="2">
        <f>sorted_analysis!$L110*(sorted_analysis!$M110/100)</f>
        <v>26.9985</v>
      </c>
      <c r="O110" s="2">
        <f>sorted_analysis!$L110-sorted_analysis!$N110</f>
        <v>152.9915</v>
      </c>
      <c r="P110" s="2">
        <v>12.99</v>
      </c>
      <c r="Q110" s="2">
        <f>SUM(sorted_analysis!$O110+sorted_analysis!$P110)</f>
        <v>165.98150000000001</v>
      </c>
      <c r="R110" s="2" t="str">
        <f>IF(sorted_analysis!$Q110&gt;200,"High Value",IF(sorted_analysis!$Q110&gt;100,"Medium Value","Low Value"))</f>
        <v>Medium Value</v>
      </c>
      <c r="S110" s="2" t="s">
        <v>21</v>
      </c>
      <c r="T110" s="2" t="s">
        <v>22</v>
      </c>
    </row>
    <row r="111" spans="1:20" s="13" customFormat="1" outlineLevel="3" x14ac:dyDescent="0.3">
      <c r="A111" s="18"/>
      <c r="B111" s="19"/>
      <c r="C111" s="19"/>
      <c r="D111" s="18"/>
      <c r="E111" s="18"/>
      <c r="F111" s="20" t="s">
        <v>463</v>
      </c>
      <c r="G111" s="18"/>
      <c r="H111" s="18"/>
      <c r="I111" s="18"/>
      <c r="J111" s="18"/>
      <c r="K111" s="18"/>
      <c r="L111" s="18"/>
      <c r="M111" s="18"/>
      <c r="N111" s="18"/>
      <c r="O111" s="18"/>
      <c r="P111" s="18"/>
      <c r="Q111" s="18">
        <f>SUBTOTAL(3,Q86:Q110)</f>
        <v>25</v>
      </c>
      <c r="R111" s="18"/>
      <c r="S111" s="18"/>
      <c r="T111" s="18"/>
    </row>
    <row r="112" spans="1:20" s="13" customFormat="1" outlineLevel="2" x14ac:dyDescent="0.3">
      <c r="A112" s="18"/>
      <c r="B112" s="19"/>
      <c r="C112" s="19"/>
      <c r="D112" s="18"/>
      <c r="E112" s="18"/>
      <c r="F112" s="20" t="s">
        <v>454</v>
      </c>
      <c r="G112" s="18"/>
      <c r="H112" s="18"/>
      <c r="I112" s="18"/>
      <c r="J112" s="18"/>
      <c r="K112" s="18"/>
      <c r="L112" s="18"/>
      <c r="M112" s="18"/>
      <c r="N112" s="18"/>
      <c r="O112" s="18"/>
      <c r="P112" s="18"/>
      <c r="Q112" s="18">
        <f>SUBTOTAL(9,Q86:Q110)</f>
        <v>2192.3844999999997</v>
      </c>
      <c r="R112" s="18"/>
      <c r="S112" s="18"/>
      <c r="T112" s="18"/>
    </row>
    <row r="113" spans="1:20" s="13" customFormat="1" outlineLevel="1" x14ac:dyDescent="0.3">
      <c r="A113" s="18"/>
      <c r="B113" s="19"/>
      <c r="C113" s="19"/>
      <c r="D113" s="18"/>
      <c r="E113" s="18"/>
      <c r="F113" s="20" t="s">
        <v>458</v>
      </c>
      <c r="G113" s="18"/>
      <c r="H113" s="18"/>
      <c r="I113" s="18"/>
      <c r="J113" s="18"/>
      <c r="K113" s="18"/>
      <c r="L113" s="18"/>
      <c r="M113" s="18"/>
      <c r="N113" s="18"/>
      <c r="O113" s="18"/>
      <c r="P113" s="18"/>
      <c r="Q113" s="18">
        <f>SUBTOTAL(1,Q86:Q110)</f>
        <v>87.695379999999986</v>
      </c>
      <c r="R113" s="18"/>
      <c r="S113" s="18"/>
      <c r="T113" s="18"/>
    </row>
    <row r="114" spans="1:20" s="13" customFormat="1" x14ac:dyDescent="0.3">
      <c r="A114" s="18"/>
      <c r="B114" s="19"/>
      <c r="C114" s="19"/>
      <c r="D114" s="18"/>
      <c r="E114" s="18"/>
      <c r="F114" s="20" t="s">
        <v>464</v>
      </c>
      <c r="G114" s="18"/>
      <c r="H114" s="18"/>
      <c r="I114" s="18"/>
      <c r="J114" s="18"/>
      <c r="K114" s="18"/>
      <c r="L114" s="18"/>
      <c r="M114" s="18"/>
      <c r="N114" s="18"/>
      <c r="O114" s="18"/>
      <c r="P114" s="18"/>
      <c r="Q114" s="18">
        <f>SUBTOTAL(3,Q2:Q110)</f>
        <v>100</v>
      </c>
      <c r="R114" s="18"/>
      <c r="S114" s="18"/>
      <c r="T114" s="18"/>
    </row>
    <row r="115" spans="1:20" s="13" customFormat="1" x14ac:dyDescent="0.3">
      <c r="A115" s="18"/>
      <c r="B115" s="19"/>
      <c r="C115" s="19"/>
      <c r="D115" s="18"/>
      <c r="E115" s="18"/>
      <c r="F115" s="20" t="s">
        <v>450</v>
      </c>
      <c r="G115" s="18"/>
      <c r="H115" s="18"/>
      <c r="I115" s="18"/>
      <c r="J115" s="18"/>
      <c r="K115" s="18"/>
      <c r="L115" s="18"/>
      <c r="M115" s="18"/>
      <c r="N115" s="18"/>
      <c r="O115" s="18"/>
      <c r="P115" s="18"/>
      <c r="Q115" s="18">
        <f>SUBTOTAL(9,Q2:Q110)</f>
        <v>8955.5194999999931</v>
      </c>
      <c r="R115" s="18"/>
      <c r="S115" s="18"/>
      <c r="T115" s="18"/>
    </row>
    <row r="116" spans="1:20" s="13" customFormat="1" x14ac:dyDescent="0.3">
      <c r="A116" s="18"/>
      <c r="B116" s="19"/>
      <c r="C116" s="19"/>
      <c r="D116" s="18"/>
      <c r="E116" s="18"/>
      <c r="F116" s="20" t="s">
        <v>459</v>
      </c>
      <c r="G116" s="18"/>
      <c r="H116" s="18"/>
      <c r="I116" s="18"/>
      <c r="J116" s="18"/>
      <c r="K116" s="18"/>
      <c r="L116" s="18"/>
      <c r="M116" s="18"/>
      <c r="N116" s="18"/>
      <c r="O116" s="18"/>
      <c r="P116" s="18"/>
      <c r="Q116" s="18">
        <f>SUBTOTAL(1,Q2:Q110)</f>
        <v>89.555194999999927</v>
      </c>
      <c r="R116" s="18"/>
      <c r="S116" s="18"/>
      <c r="T116" s="18"/>
    </row>
  </sheetData>
  <dataValidations count="3">
    <dataValidation type="whole" allowBlank="1" showInputMessage="1" showErrorMessage="1" sqref="J58:J82 J2:J26 J30:J54 J86:J110" xr:uid="{F24EC7CF-3E02-4523-9CA6-6F9E56BF9493}">
      <formula1>1</formula1>
      <formula2>10</formula2>
    </dataValidation>
    <dataValidation type="list" allowBlank="1" showInputMessage="1" showErrorMessage="1" sqref="T58:T82 T2:T26 T30:T54 T86:T110" xr:uid="{0406988B-937F-4EBA-92FA-63F150AB6D90}">
      <formula1>$Z$12:$Z$14</formula1>
    </dataValidation>
    <dataValidation type="list" allowBlank="1" showInputMessage="1" showErrorMessage="1" sqref="F58:F82 F2:F26 F30:F54 F86:F110" xr:uid="{3D99B022-01CA-4A8E-BAA6-F775C691B4A5}">
      <formula1>$Y$12:$Y$15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AC413-FFC5-4A9D-97B1-90A4B716126F}">
  <dimension ref="A3:I10"/>
  <sheetViews>
    <sheetView topLeftCell="A3" zoomScale="75" workbookViewId="0">
      <selection activeCell="H6" sqref="H6"/>
    </sheetView>
  </sheetViews>
  <sheetFormatPr defaultRowHeight="14.4" x14ac:dyDescent="0.3"/>
  <cols>
    <col min="1" max="1" width="13.77734375" bestFit="1" customWidth="1"/>
    <col min="2" max="2" width="23.21875" bestFit="1" customWidth="1"/>
    <col min="3" max="3" width="17.109375" bestFit="1" customWidth="1"/>
    <col min="4" max="4" width="23.21875" bestFit="1" customWidth="1"/>
    <col min="5" max="5" width="17.109375" bestFit="1" customWidth="1"/>
    <col min="6" max="6" width="23.21875" bestFit="1" customWidth="1"/>
    <col min="7" max="7" width="17.109375" bestFit="1" customWidth="1"/>
    <col min="8" max="8" width="28.21875" bestFit="1" customWidth="1"/>
    <col min="9" max="9" width="22.33203125" bestFit="1" customWidth="1"/>
    <col min="10" max="10" width="21.44140625" bestFit="1" customWidth="1"/>
    <col min="11" max="11" width="27.21875" bestFit="1" customWidth="1"/>
    <col min="12" max="12" width="21.33203125" bestFit="1" customWidth="1"/>
    <col min="13" max="13" width="26.21875" bestFit="1" customWidth="1"/>
  </cols>
  <sheetData>
    <row r="3" spans="1:9" x14ac:dyDescent="0.3">
      <c r="B3" s="36" t="s">
        <v>477</v>
      </c>
    </row>
    <row r="4" spans="1:9" x14ac:dyDescent="0.3">
      <c r="B4" t="s">
        <v>61</v>
      </c>
      <c r="D4" t="s">
        <v>22</v>
      </c>
      <c r="F4" t="s">
        <v>72</v>
      </c>
      <c r="H4" t="s">
        <v>480</v>
      </c>
      <c r="I4" t="s">
        <v>481</v>
      </c>
    </row>
    <row r="5" spans="1:9" x14ac:dyDescent="0.3">
      <c r="A5" s="36" t="s">
        <v>478</v>
      </c>
      <c r="B5" t="s">
        <v>479</v>
      </c>
      <c r="C5" t="s">
        <v>482</v>
      </c>
      <c r="D5" t="s">
        <v>479</v>
      </c>
      <c r="E5" t="s">
        <v>482</v>
      </c>
      <c r="F5" t="s">
        <v>479</v>
      </c>
      <c r="G5" t="s">
        <v>482</v>
      </c>
    </row>
    <row r="6" spans="1:9" x14ac:dyDescent="0.3">
      <c r="A6" s="37" t="s">
        <v>17</v>
      </c>
      <c r="B6" s="38">
        <v>149.89499999999998</v>
      </c>
      <c r="C6" s="41">
        <v>2</v>
      </c>
      <c r="D6" s="38">
        <v>1974.0174999999999</v>
      </c>
      <c r="E6" s="41">
        <v>20</v>
      </c>
      <c r="F6" s="38">
        <v>252.90899999999999</v>
      </c>
      <c r="G6" s="41">
        <v>3</v>
      </c>
      <c r="H6" s="38">
        <v>2376.8215</v>
      </c>
      <c r="I6" s="41">
        <v>25</v>
      </c>
    </row>
    <row r="7" spans="1:9" x14ac:dyDescent="0.3">
      <c r="A7" s="37" t="s">
        <v>26</v>
      </c>
      <c r="B7" s="38">
        <v>121.47149999999999</v>
      </c>
      <c r="C7" s="41">
        <v>1</v>
      </c>
      <c r="D7" s="38">
        <v>1806.537</v>
      </c>
      <c r="E7" s="41">
        <v>21</v>
      </c>
      <c r="F7" s="38">
        <v>196.1575</v>
      </c>
      <c r="G7" s="41">
        <v>3</v>
      </c>
      <c r="H7" s="38">
        <v>2124.1659999999997</v>
      </c>
      <c r="I7" s="41">
        <v>25</v>
      </c>
    </row>
    <row r="8" spans="1:9" x14ac:dyDescent="0.3">
      <c r="A8" s="37" t="s">
        <v>34</v>
      </c>
      <c r="B8" s="38">
        <v>185.94299999999998</v>
      </c>
      <c r="C8" s="41">
        <v>3</v>
      </c>
      <c r="D8" s="38">
        <v>1176.3564999999999</v>
      </c>
      <c r="E8" s="41">
        <v>17</v>
      </c>
      <c r="F8" s="38">
        <v>899.84799999999996</v>
      </c>
      <c r="G8" s="41">
        <v>5</v>
      </c>
      <c r="H8" s="38">
        <v>2262.1475</v>
      </c>
      <c r="I8" s="41">
        <v>25</v>
      </c>
    </row>
    <row r="9" spans="1:9" x14ac:dyDescent="0.3">
      <c r="A9" s="37" t="s">
        <v>40</v>
      </c>
      <c r="B9" s="38">
        <v>53.939</v>
      </c>
      <c r="C9" s="41">
        <v>1</v>
      </c>
      <c r="D9" s="38">
        <v>1915.0004999999999</v>
      </c>
      <c r="E9" s="41">
        <v>22</v>
      </c>
      <c r="F9" s="38">
        <v>223.44500000000002</v>
      </c>
      <c r="G9" s="41">
        <v>2</v>
      </c>
      <c r="H9" s="38">
        <v>2192.3845000000001</v>
      </c>
      <c r="I9" s="41">
        <v>25</v>
      </c>
    </row>
    <row r="10" spans="1:9" x14ac:dyDescent="0.3">
      <c r="A10" s="37" t="s">
        <v>450</v>
      </c>
      <c r="B10" s="38">
        <v>511.24849999999998</v>
      </c>
      <c r="C10" s="41">
        <v>7</v>
      </c>
      <c r="D10" s="38">
        <v>6871.9114999999956</v>
      </c>
      <c r="E10" s="41">
        <v>80</v>
      </c>
      <c r="F10" s="38">
        <v>1572.3594999999998</v>
      </c>
      <c r="G10" s="41">
        <v>13</v>
      </c>
      <c r="H10" s="38">
        <v>8955.5194999999985</v>
      </c>
      <c r="I10" s="41">
        <v>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D922-B7FE-4F49-BB8D-3FF23491A8E8}">
  <dimension ref="A3:K9"/>
  <sheetViews>
    <sheetView zoomScale="51" zoomScaleNormal="102" workbookViewId="0">
      <selection activeCell="L12" sqref="L12"/>
    </sheetView>
  </sheetViews>
  <sheetFormatPr defaultRowHeight="14.4" x14ac:dyDescent="0.3"/>
  <cols>
    <col min="1" max="2" width="22.77734375" bestFit="1" customWidth="1"/>
    <col min="3" max="3" width="11.44140625" bestFit="1" customWidth="1"/>
    <col min="4" max="9" width="10.33203125" bestFit="1" customWidth="1"/>
    <col min="10" max="10" width="13.6640625" bestFit="1" customWidth="1"/>
    <col min="11" max="11" width="15.109375" bestFit="1" customWidth="1"/>
    <col min="12" max="12" width="22.44140625" bestFit="1" customWidth="1"/>
    <col min="13" max="13" width="16.44140625" bestFit="1" customWidth="1"/>
    <col min="14" max="14" width="22.44140625" bestFit="1" customWidth="1"/>
    <col min="15" max="15" width="16.44140625" bestFit="1" customWidth="1"/>
    <col min="16" max="16" width="22.44140625" bestFit="1" customWidth="1"/>
    <col min="17" max="17" width="16.44140625" bestFit="1" customWidth="1"/>
    <col min="18" max="18" width="22.44140625" bestFit="1" customWidth="1"/>
    <col min="19" max="19" width="16.44140625" bestFit="1" customWidth="1"/>
    <col min="20" max="20" width="27.21875" bestFit="1" customWidth="1"/>
    <col min="21" max="21" width="21.33203125" bestFit="1" customWidth="1"/>
  </cols>
  <sheetData>
    <row r="3" spans="1:11" x14ac:dyDescent="0.3">
      <c r="A3" s="36" t="s">
        <v>486</v>
      </c>
      <c r="B3" s="36" t="s">
        <v>477</v>
      </c>
    </row>
    <row r="4" spans="1:11" x14ac:dyDescent="0.3">
      <c r="A4" s="36" t="s">
        <v>478</v>
      </c>
      <c r="B4" t="s">
        <v>466</v>
      </c>
      <c r="C4" t="s">
        <v>467</v>
      </c>
      <c r="D4" t="s">
        <v>468</v>
      </c>
      <c r="E4" t="s">
        <v>469</v>
      </c>
      <c r="F4" t="s">
        <v>470</v>
      </c>
      <c r="G4" t="s">
        <v>471</v>
      </c>
      <c r="H4" t="s">
        <v>472</v>
      </c>
      <c r="I4" t="s">
        <v>473</v>
      </c>
      <c r="J4" t="s">
        <v>474</v>
      </c>
      <c r="K4" t="s">
        <v>450</v>
      </c>
    </row>
    <row r="5" spans="1:11" x14ac:dyDescent="0.3">
      <c r="A5" s="37" t="s">
        <v>59</v>
      </c>
      <c r="B5" s="40">
        <v>0.1704325124807255</v>
      </c>
      <c r="C5" s="40">
        <v>8.2633331188077405E-2</v>
      </c>
      <c r="D5" s="40">
        <v>0.170719463514001</v>
      </c>
      <c r="E5" s="40">
        <v>0.17709928685434007</v>
      </c>
      <c r="F5" s="40">
        <v>0.11250531850230977</v>
      </c>
      <c r="G5" s="40">
        <v>0.18846129108809007</v>
      </c>
      <c r="H5" s="40">
        <v>0.20855415373501793</v>
      </c>
      <c r="I5" s="40">
        <v>4.6970993451176828E-2</v>
      </c>
      <c r="J5" s="40">
        <v>0.25414614049175555</v>
      </c>
      <c r="K5" s="40">
        <v>0.13941843351466099</v>
      </c>
    </row>
    <row r="6" spans="1:11" x14ac:dyDescent="0.3">
      <c r="A6" s="37" t="s">
        <v>42</v>
      </c>
      <c r="B6" s="40">
        <v>0.20921945212032386</v>
      </c>
      <c r="C6" s="40">
        <v>0.21037522838304606</v>
      </c>
      <c r="D6" s="40">
        <v>0.14168785794893324</v>
      </c>
      <c r="E6" s="40">
        <v>0.3095754636191459</v>
      </c>
      <c r="F6" s="40">
        <v>0.17352516031485535</v>
      </c>
      <c r="G6" s="40">
        <v>0.16627910071391977</v>
      </c>
      <c r="H6" s="40">
        <v>0.1850362910252599</v>
      </c>
      <c r="I6" s="40">
        <v>0.1424046550786526</v>
      </c>
      <c r="J6" s="40">
        <v>0.22316367825698058</v>
      </c>
      <c r="K6" s="40">
        <v>0.18845902797710393</v>
      </c>
    </row>
    <row r="7" spans="1:11" x14ac:dyDescent="0.3">
      <c r="A7" s="37" t="s">
        <v>19</v>
      </c>
      <c r="B7" s="40">
        <v>0.45117759016401776</v>
      </c>
      <c r="C7" s="40">
        <v>0.50397341218626102</v>
      </c>
      <c r="D7" s="40">
        <v>0.38772836508293507</v>
      </c>
      <c r="E7" s="40">
        <v>0.3219630494733941</v>
      </c>
      <c r="F7" s="40">
        <v>0.40492037442256262</v>
      </c>
      <c r="G7" s="40">
        <v>0.35423971647249552</v>
      </c>
      <c r="H7" s="40">
        <v>0.44608263753173993</v>
      </c>
      <c r="I7" s="40">
        <v>0.64852264642969271</v>
      </c>
      <c r="J7" s="40">
        <v>0.38175370939551312</v>
      </c>
      <c r="K7" s="40">
        <v>0.45652588886663698</v>
      </c>
    </row>
    <row r="8" spans="1:11" x14ac:dyDescent="0.3">
      <c r="A8" s="37" t="s">
        <v>28</v>
      </c>
      <c r="B8" s="40">
        <v>0.1691704452349328</v>
      </c>
      <c r="C8" s="40">
        <v>0.20301802824261536</v>
      </c>
      <c r="D8" s="40">
        <v>0.29986431345413062</v>
      </c>
      <c r="E8" s="40">
        <v>0.19136220005311977</v>
      </c>
      <c r="F8" s="40">
        <v>0.30904914676027234</v>
      </c>
      <c r="G8" s="40">
        <v>0.29101989172549469</v>
      </c>
      <c r="H8" s="40">
        <v>0.16032691770798221</v>
      </c>
      <c r="I8" s="40">
        <v>0.16210170504047783</v>
      </c>
      <c r="J8" s="40">
        <v>0.14093647185575078</v>
      </c>
      <c r="K8" s="40">
        <v>0.21559664964159814</v>
      </c>
    </row>
    <row r="9" spans="1:11" x14ac:dyDescent="0.3">
      <c r="A9" s="37" t="s">
        <v>450</v>
      </c>
      <c r="B9" s="40">
        <v>1</v>
      </c>
      <c r="C9" s="40">
        <v>1</v>
      </c>
      <c r="D9" s="40">
        <v>1</v>
      </c>
      <c r="E9" s="40">
        <v>1</v>
      </c>
      <c r="F9" s="40">
        <v>1</v>
      </c>
      <c r="G9" s="40">
        <v>1</v>
      </c>
      <c r="H9" s="40">
        <v>1</v>
      </c>
      <c r="I9" s="40">
        <v>1</v>
      </c>
      <c r="J9" s="40">
        <v>1</v>
      </c>
      <c r="K9" s="40">
        <v>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564BD-4651-45E9-9055-115DD4BEABAF}">
  <dimension ref="A3:I20"/>
  <sheetViews>
    <sheetView zoomScale="59" workbookViewId="0">
      <selection activeCell="I31" sqref="I31"/>
    </sheetView>
  </sheetViews>
  <sheetFormatPr defaultRowHeight="14.4" x14ac:dyDescent="0.3"/>
  <cols>
    <col min="1" max="1" width="19.6640625" bestFit="1" customWidth="1"/>
    <col min="2" max="2" width="31.5546875" bestFit="1" customWidth="1"/>
    <col min="3" max="3" width="31.88671875" bestFit="1" customWidth="1"/>
    <col min="4" max="4" width="31.5546875" bestFit="1" customWidth="1"/>
    <col min="5" max="5" width="31.88671875" bestFit="1" customWidth="1"/>
    <col min="6" max="6" width="31.5546875" bestFit="1" customWidth="1"/>
    <col min="7" max="7" width="31.88671875" bestFit="1" customWidth="1"/>
    <col min="8" max="8" width="38.33203125" bestFit="1" customWidth="1"/>
    <col min="9" max="9" width="38.88671875" bestFit="1" customWidth="1"/>
  </cols>
  <sheetData>
    <row r="3" spans="1:9" x14ac:dyDescent="0.3">
      <c r="B3" s="36" t="s">
        <v>477</v>
      </c>
    </row>
    <row r="4" spans="1:9" x14ac:dyDescent="0.3">
      <c r="B4" t="s">
        <v>61</v>
      </c>
      <c r="D4" t="s">
        <v>22</v>
      </c>
      <c r="F4" t="s">
        <v>72</v>
      </c>
      <c r="H4" t="s">
        <v>488</v>
      </c>
      <c r="I4" t="s">
        <v>480</v>
      </c>
    </row>
    <row r="5" spans="1:9" x14ac:dyDescent="0.3">
      <c r="A5" s="36" t="s">
        <v>478</v>
      </c>
      <c r="B5" t="s">
        <v>487</v>
      </c>
      <c r="C5" t="s">
        <v>479</v>
      </c>
      <c r="D5" t="s">
        <v>487</v>
      </c>
      <c r="E5" t="s">
        <v>479</v>
      </c>
      <c r="F5" t="s">
        <v>487</v>
      </c>
      <c r="G5" t="s">
        <v>479</v>
      </c>
    </row>
    <row r="6" spans="1:9" x14ac:dyDescent="0.3">
      <c r="A6" s="37" t="s">
        <v>483</v>
      </c>
      <c r="B6" s="41"/>
      <c r="C6" s="41"/>
      <c r="D6" s="41">
        <v>3</v>
      </c>
      <c r="E6" s="41">
        <v>853.44449999999995</v>
      </c>
      <c r="F6" s="41">
        <v>1</v>
      </c>
      <c r="G6" s="41">
        <v>474.98099999999999</v>
      </c>
      <c r="H6" s="41">
        <v>4</v>
      </c>
      <c r="I6" s="41">
        <v>1328.4254999999998</v>
      </c>
    </row>
    <row r="7" spans="1:9" x14ac:dyDescent="0.3">
      <c r="A7" s="39" t="s">
        <v>17</v>
      </c>
      <c r="B7" s="41"/>
      <c r="C7" s="41"/>
      <c r="D7" s="41">
        <v>2</v>
      </c>
      <c r="E7" s="41">
        <v>625.96299999999997</v>
      </c>
      <c r="F7" s="41"/>
      <c r="G7" s="41"/>
      <c r="H7" s="41">
        <v>2</v>
      </c>
      <c r="I7" s="41">
        <v>625.96299999999997</v>
      </c>
    </row>
    <row r="8" spans="1:9" x14ac:dyDescent="0.3">
      <c r="A8" s="39" t="s">
        <v>26</v>
      </c>
      <c r="B8" s="41"/>
      <c r="C8" s="41"/>
      <c r="D8" s="41">
        <v>1</v>
      </c>
      <c r="E8" s="41">
        <v>227.48150000000001</v>
      </c>
      <c r="F8" s="41"/>
      <c r="G8" s="41"/>
      <c r="H8" s="41">
        <v>1</v>
      </c>
      <c r="I8" s="41">
        <v>227.48150000000001</v>
      </c>
    </row>
    <row r="9" spans="1:9" x14ac:dyDescent="0.3">
      <c r="A9" s="39" t="s">
        <v>34</v>
      </c>
      <c r="B9" s="41"/>
      <c r="C9" s="41"/>
      <c r="D9" s="41"/>
      <c r="E9" s="41"/>
      <c r="F9" s="41">
        <v>1</v>
      </c>
      <c r="G9" s="41">
        <v>474.98099999999999</v>
      </c>
      <c r="H9" s="41">
        <v>1</v>
      </c>
      <c r="I9" s="41">
        <v>474.98099999999999</v>
      </c>
    </row>
    <row r="10" spans="1:9" x14ac:dyDescent="0.3">
      <c r="A10" s="37" t="s">
        <v>484</v>
      </c>
      <c r="B10" s="41">
        <v>6</v>
      </c>
      <c r="C10" s="41">
        <v>389.77699999999999</v>
      </c>
      <c r="D10" s="41">
        <v>60</v>
      </c>
      <c r="E10" s="41">
        <v>3899.8715000000007</v>
      </c>
      <c r="F10" s="41">
        <v>10</v>
      </c>
      <c r="G10" s="41">
        <v>775.93499999999995</v>
      </c>
      <c r="H10" s="41">
        <v>76</v>
      </c>
      <c r="I10" s="41">
        <v>5065.5834999999997</v>
      </c>
    </row>
    <row r="11" spans="1:9" x14ac:dyDescent="0.3">
      <c r="A11" s="39" t="s">
        <v>17</v>
      </c>
      <c r="B11" s="41">
        <v>2</v>
      </c>
      <c r="C11" s="41">
        <v>149.89499999999998</v>
      </c>
      <c r="D11" s="41">
        <v>15</v>
      </c>
      <c r="E11" s="41">
        <v>1000.6109999999999</v>
      </c>
      <c r="F11" s="41">
        <v>3</v>
      </c>
      <c r="G11" s="41">
        <v>252.90899999999999</v>
      </c>
      <c r="H11" s="41">
        <v>20</v>
      </c>
      <c r="I11" s="41">
        <v>1403.4149999999997</v>
      </c>
    </row>
    <row r="12" spans="1:9" x14ac:dyDescent="0.3">
      <c r="A12" s="39" t="s">
        <v>26</v>
      </c>
      <c r="B12" s="41"/>
      <c r="C12" s="41"/>
      <c r="D12" s="41">
        <v>16</v>
      </c>
      <c r="E12" s="41">
        <v>1087.6575</v>
      </c>
      <c r="F12" s="41">
        <v>3</v>
      </c>
      <c r="G12" s="41">
        <v>196.1575</v>
      </c>
      <c r="H12" s="41">
        <v>19</v>
      </c>
      <c r="I12" s="41">
        <v>1283.8150000000001</v>
      </c>
    </row>
    <row r="13" spans="1:9" x14ac:dyDescent="0.3">
      <c r="A13" s="39" t="s">
        <v>34</v>
      </c>
      <c r="B13" s="41">
        <v>3</v>
      </c>
      <c r="C13" s="41">
        <v>185.94299999999998</v>
      </c>
      <c r="D13" s="41">
        <v>14</v>
      </c>
      <c r="E13" s="41">
        <v>825.44049999999993</v>
      </c>
      <c r="F13" s="41">
        <v>3</v>
      </c>
      <c r="G13" s="41">
        <v>243.88549999999998</v>
      </c>
      <c r="H13" s="41">
        <v>20</v>
      </c>
      <c r="I13" s="41">
        <v>1255.269</v>
      </c>
    </row>
    <row r="14" spans="1:9" x14ac:dyDescent="0.3">
      <c r="A14" s="39" t="s">
        <v>40</v>
      </c>
      <c r="B14" s="41">
        <v>1</v>
      </c>
      <c r="C14" s="41">
        <v>53.939</v>
      </c>
      <c r="D14" s="41">
        <v>15</v>
      </c>
      <c r="E14" s="41">
        <v>986.16249999999991</v>
      </c>
      <c r="F14" s="41">
        <v>1</v>
      </c>
      <c r="G14" s="41">
        <v>82.983000000000004</v>
      </c>
      <c r="H14" s="41">
        <v>17</v>
      </c>
      <c r="I14" s="41">
        <v>1123.0844999999999</v>
      </c>
    </row>
    <row r="15" spans="1:9" x14ac:dyDescent="0.3">
      <c r="A15" s="37" t="s">
        <v>485</v>
      </c>
      <c r="B15" s="41">
        <v>1</v>
      </c>
      <c r="C15" s="41">
        <v>121.47149999999999</v>
      </c>
      <c r="D15" s="41">
        <v>17</v>
      </c>
      <c r="E15" s="41">
        <v>2118.5954999999999</v>
      </c>
      <c r="F15" s="41">
        <v>2</v>
      </c>
      <c r="G15" s="41">
        <v>321.44350000000003</v>
      </c>
      <c r="H15" s="41">
        <v>20</v>
      </c>
      <c r="I15" s="41">
        <v>2561.5105000000003</v>
      </c>
    </row>
    <row r="16" spans="1:9" x14ac:dyDescent="0.3">
      <c r="A16" s="39" t="s">
        <v>17</v>
      </c>
      <c r="B16" s="41"/>
      <c r="C16" s="41"/>
      <c r="D16" s="41">
        <v>3</v>
      </c>
      <c r="E16" s="41">
        <v>347.44350000000003</v>
      </c>
      <c r="F16" s="41"/>
      <c r="G16" s="41"/>
      <c r="H16" s="41">
        <v>3</v>
      </c>
      <c r="I16" s="41">
        <v>347.44350000000003</v>
      </c>
    </row>
    <row r="17" spans="1:9" x14ac:dyDescent="0.3">
      <c r="A17" s="39" t="s">
        <v>26</v>
      </c>
      <c r="B17" s="41">
        <v>1</v>
      </c>
      <c r="C17" s="41">
        <v>121.47149999999999</v>
      </c>
      <c r="D17" s="41">
        <v>4</v>
      </c>
      <c r="E17" s="41">
        <v>491.39800000000002</v>
      </c>
      <c r="F17" s="41"/>
      <c r="G17" s="41"/>
      <c r="H17" s="41">
        <v>5</v>
      </c>
      <c r="I17" s="41">
        <v>612.86950000000002</v>
      </c>
    </row>
    <row r="18" spans="1:9" x14ac:dyDescent="0.3">
      <c r="A18" s="39" t="s">
        <v>34</v>
      </c>
      <c r="B18" s="41"/>
      <c r="C18" s="41"/>
      <c r="D18" s="41">
        <v>3</v>
      </c>
      <c r="E18" s="41">
        <v>350.91599999999994</v>
      </c>
      <c r="F18" s="41">
        <v>1</v>
      </c>
      <c r="G18" s="41">
        <v>180.98150000000001</v>
      </c>
      <c r="H18" s="41">
        <v>4</v>
      </c>
      <c r="I18" s="41">
        <v>531.89749999999992</v>
      </c>
    </row>
    <row r="19" spans="1:9" x14ac:dyDescent="0.3">
      <c r="A19" s="39" t="s">
        <v>40</v>
      </c>
      <c r="B19" s="41"/>
      <c r="C19" s="41"/>
      <c r="D19" s="41">
        <v>7</v>
      </c>
      <c r="E19" s="41">
        <v>928.83800000000008</v>
      </c>
      <c r="F19" s="41">
        <v>1</v>
      </c>
      <c r="G19" s="41">
        <v>140.46200000000002</v>
      </c>
      <c r="H19" s="41">
        <v>8</v>
      </c>
      <c r="I19" s="41">
        <v>1069.3000000000002</v>
      </c>
    </row>
    <row r="20" spans="1:9" x14ac:dyDescent="0.3">
      <c r="A20" s="37" t="s">
        <v>450</v>
      </c>
      <c r="B20" s="41">
        <v>7</v>
      </c>
      <c r="C20" s="41">
        <v>511.24849999999998</v>
      </c>
      <c r="D20" s="41">
        <v>80</v>
      </c>
      <c r="E20" s="41">
        <v>6871.9114999999965</v>
      </c>
      <c r="F20" s="41">
        <v>13</v>
      </c>
      <c r="G20" s="41">
        <v>1572.3595</v>
      </c>
      <c r="H20" s="41">
        <v>100</v>
      </c>
      <c r="I20" s="41">
        <v>8955.5194999999985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5E78-56B5-4705-9188-F3123E0DDDE7}">
  <dimension ref="A1:L5"/>
  <sheetViews>
    <sheetView zoomScale="151" workbookViewId="0">
      <selection activeCell="C8" sqref="C8"/>
    </sheetView>
  </sheetViews>
  <sheetFormatPr defaultRowHeight="14.4" x14ac:dyDescent="0.3"/>
  <cols>
    <col min="1" max="1" width="16.109375" bestFit="1" customWidth="1"/>
    <col min="2" max="2" width="9.77734375" bestFit="1" customWidth="1"/>
    <col min="3" max="3" width="10.6640625" bestFit="1" customWidth="1"/>
    <col min="4" max="4" width="8.6640625" bestFit="1" customWidth="1"/>
    <col min="5" max="5" width="7.109375" bestFit="1" customWidth="1"/>
    <col min="6" max="6" width="7" bestFit="1" customWidth="1"/>
    <col min="7" max="7" width="7.109375" bestFit="1" customWidth="1"/>
    <col min="8" max="8" width="6.44140625" bestFit="1" customWidth="1"/>
    <col min="9" max="9" width="9.109375" bestFit="1" customWidth="1"/>
    <col min="10" max="10" width="12.44140625" bestFit="1" customWidth="1"/>
    <col min="11" max="11" width="12.44140625" customWidth="1"/>
    <col min="12" max="12" width="8.109375" bestFit="1" customWidth="1"/>
  </cols>
  <sheetData>
    <row r="1" spans="1:12" x14ac:dyDescent="0.3">
      <c r="A1" s="25" t="s">
        <v>465</v>
      </c>
      <c r="B1" s="26" t="s">
        <v>466</v>
      </c>
      <c r="C1" s="26" t="s">
        <v>467</v>
      </c>
      <c r="D1" s="26" t="s">
        <v>468</v>
      </c>
      <c r="E1" s="26" t="s">
        <v>469</v>
      </c>
      <c r="F1" s="26" t="s">
        <v>470</v>
      </c>
      <c r="G1" s="26" t="s">
        <v>471</v>
      </c>
      <c r="H1" s="26" t="s">
        <v>472</v>
      </c>
      <c r="I1" s="26" t="s">
        <v>473</v>
      </c>
      <c r="J1" s="26" t="s">
        <v>474</v>
      </c>
      <c r="K1" s="26" t="s">
        <v>476</v>
      </c>
      <c r="L1" s="27" t="s">
        <v>475</v>
      </c>
    </row>
    <row r="2" spans="1:12" x14ac:dyDescent="0.3">
      <c r="A2" s="28" t="s">
        <v>19</v>
      </c>
      <c r="B2" s="29">
        <f>COUNTIFS(sales_data!$H:$H,"Electronics",sales_data!$C:$C,"January")</f>
        <v>5</v>
      </c>
      <c r="C2" s="29">
        <f>COUNTIFS(sales_data!$H:$H,"Electronics",sales_data!$C:$C,"February")</f>
        <v>4</v>
      </c>
      <c r="D2" s="29">
        <f>COUNTIFS(sales_data!$H:$H,"Electronics",sales_data!$C:$C,"March")</f>
        <v>4</v>
      </c>
      <c r="E2" s="29">
        <f>COUNTIFS(sales_data!$H:$H,"Electronics",sales_data!$C:$C,"April")</f>
        <v>4</v>
      </c>
      <c r="F2" s="29">
        <f>COUNTIFS(sales_data!$H:$H,"Electronics",sales_data!$C:$C,"May")</f>
        <v>4</v>
      </c>
      <c r="G2" s="29">
        <f>COUNTIFS(sales_data!$H:$H,"Electronics",sales_data!$C:$C,"June")</f>
        <v>4</v>
      </c>
      <c r="H2" s="29">
        <f>COUNTIFS(sales_data!$H:$H,"Electronics",sales_data!$C:$C,"July")</f>
        <v>4</v>
      </c>
      <c r="I2" s="29">
        <f>COUNTIFS(sales_data!$H:$H,"Electronics",sales_data!$C:$C,"August")</f>
        <v>4</v>
      </c>
      <c r="J2" s="29">
        <f>COUNTIFS(sales_data!$H:$H,"Electronics",sales_data!$C:$C,"September")</f>
        <v>1</v>
      </c>
      <c r="K2" s="29">
        <f>SUM(B2:J2)</f>
        <v>34</v>
      </c>
      <c r="L2" s="30"/>
    </row>
    <row r="3" spans="1:12" x14ac:dyDescent="0.3">
      <c r="A3" s="34" t="s">
        <v>28</v>
      </c>
      <c r="B3" s="29">
        <f>COUNTIFS(sales_data!$H:$H,"Home &amp; Garden",sales_data!$C:$C,"January")</f>
        <v>2</v>
      </c>
      <c r="C3" s="31">
        <f>COUNTIFS(sales_data!$H:$H,"Home &amp; Garden",sales_data!$C:$C,"February")</f>
        <v>3</v>
      </c>
      <c r="D3" s="31">
        <f>COUNTIFS(sales_data!$H:$H,"Home &amp; Garden",sales_data!$C:$C,"March")</f>
        <v>3</v>
      </c>
      <c r="E3" s="31">
        <f>COUNTIFS(sales_data!$H:$H,"Home &amp; Garden",sales_data!$C:$C,"April")</f>
        <v>2</v>
      </c>
      <c r="F3" s="31">
        <f>COUNTIFS(sales_data!$H:$H,"Home &amp; Garden",sales_data!$C:$C,"May")</f>
        <v>3</v>
      </c>
      <c r="G3" s="31">
        <f>COUNTIFS(sales_data!$H:$H,"Home &amp; Garden",sales_data!$C:$C,"June")</f>
        <v>3</v>
      </c>
      <c r="H3" s="31">
        <f>COUNTIFS(sales_data!$H:$H,"Home &amp; Garden",sales_data!$C:$C,"July")</f>
        <v>2</v>
      </c>
      <c r="I3" s="31">
        <f>COUNTIFS(sales_data!$H:$H,"Home &amp; Garden",sales_data!$C:$C,"August")</f>
        <v>3</v>
      </c>
      <c r="J3" s="31">
        <f>COUNTIFS(sales_data!$H:$H,"Home &amp; Garden",sales_data!$C:$C,"September")</f>
        <v>1</v>
      </c>
      <c r="K3" s="29">
        <f t="shared" ref="K3:K5" si="0">SUM(B3:J3)</f>
        <v>22</v>
      </c>
      <c r="L3" s="32"/>
    </row>
    <row r="4" spans="1:12" x14ac:dyDescent="0.3">
      <c r="A4" s="28" t="s">
        <v>42</v>
      </c>
      <c r="B4" s="29">
        <f>COUNTIFS(sales_data!$H:$H,"Clothing",sales_data!$C:$C,"January")</f>
        <v>2</v>
      </c>
      <c r="C4" s="29">
        <f>COUNTIFS(sales_data!$H:$H,"Clothing",sales_data!$C:$C,"February")</f>
        <v>3</v>
      </c>
      <c r="D4" s="29">
        <f>COUNTIFS(sales_data!$H:$H,"Clothing",sales_data!$C:$C,"March")</f>
        <v>2</v>
      </c>
      <c r="E4" s="29">
        <f>COUNTIFS(sales_data!$H:$H,"Clothing",sales_data!$C:$C,"April")</f>
        <v>3</v>
      </c>
      <c r="F4" s="29">
        <f>COUNTIFS(sales_data!$H:$H,"Clothing",sales_data!$C:$C,"May")</f>
        <v>3</v>
      </c>
      <c r="G4" s="29">
        <f>COUNTIFS(sales_data!$H:$H,"Clothing",sales_data!$C:$C,"June")</f>
        <v>2</v>
      </c>
      <c r="H4" s="29">
        <f>COUNTIFS(sales_data!$H:$H,"Clothing",sales_data!$C:$C,"July")</f>
        <v>3</v>
      </c>
      <c r="I4" s="29">
        <f>COUNTIFS(sales_data!$H:$H,"Clothing",sales_data!$C:$C,"August")</f>
        <v>3</v>
      </c>
      <c r="J4" s="29">
        <f>COUNTIFS(sales_data!$H:$H,"Clothing",sales_data!$C:$C,"September")</f>
        <v>1</v>
      </c>
      <c r="K4" s="29">
        <f t="shared" si="0"/>
        <v>22</v>
      </c>
      <c r="L4" s="30"/>
    </row>
    <row r="5" spans="1:12" x14ac:dyDescent="0.3">
      <c r="A5" s="35" t="s">
        <v>59</v>
      </c>
      <c r="B5" s="29">
        <f>COUNTIFS(sales_data!$H:$H,"Books",sales_data!$C:$C,"January")</f>
        <v>2</v>
      </c>
      <c r="C5" s="29">
        <f>COUNTIFS(sales_data!$H:$H,"Books",sales_data!$C:$C,"February")</f>
        <v>2</v>
      </c>
      <c r="D5" s="29">
        <f>COUNTIFS(sales_data!$H:$H,"Books",sales_data!$C:$C,"March")</f>
        <v>3</v>
      </c>
      <c r="E5" s="29">
        <f>COUNTIFS(sales_data!$H:$H,"Books",sales_data!$C:$C,"April")</f>
        <v>3</v>
      </c>
      <c r="F5" s="29">
        <f>COUNTIFS(sales_data!$H:$H,"Books",sales_data!$C:$C,"May")</f>
        <v>2</v>
      </c>
      <c r="G5" s="29">
        <f>COUNTIFS(sales_data!$H:$H,"Books",sales_data!$C:$C,"June")</f>
        <v>3</v>
      </c>
      <c r="H5" s="29">
        <f>COUNTIFS(sales_data!$H:$H,"Books",sales_data!$C:$C,"July")</f>
        <v>3</v>
      </c>
      <c r="I5" s="29">
        <f>COUNTIFS(sales_data!$H:$H,"Books",sales_data!$C:$C,"August")</f>
        <v>2</v>
      </c>
      <c r="J5" s="29">
        <f>COUNTIFS(sales_data!$H:$H,"Books",sales_data!$C:$C,"September")</f>
        <v>2</v>
      </c>
      <c r="K5" s="29">
        <f t="shared" si="0"/>
        <v>22</v>
      </c>
      <c r="L5" s="33"/>
    </row>
  </sheetData>
  <phoneticPr fontId="18" type="noConversion"/>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F399BC90-D5D7-4A8E-AC39-208A3A569A1C}">
          <x14:colorSeries theme="7"/>
          <x14:colorNegative theme="8"/>
          <x14:colorAxis rgb="FF000000"/>
          <x14:colorMarkers theme="7" tint="-0.249977111117893"/>
          <x14:colorFirst theme="7" tint="-0.249977111117893"/>
          <x14:colorLast theme="7" tint="-0.249977111117893"/>
          <x14:colorHigh theme="7" tint="-0.249977111117893"/>
          <x14:colorLow theme="7" tint="-0.249977111117893"/>
          <x14:sparklines>
            <x14:sparkline>
              <xm:f>Product_Trends!B2:J2</xm:f>
              <xm:sqref>L2</xm:sqref>
            </x14:sparkline>
          </x14:sparklines>
        </x14:sparklineGroup>
        <x14:sparklineGroup displayEmptyCellsAs="gap" high="1" low="1" xr2:uid="{1721BB96-24A5-4377-A78A-86236AED7935}">
          <x14:colorSeries rgb="FF323232"/>
          <x14:colorNegative rgb="FFD00000"/>
          <x14:colorAxis rgb="FF000000"/>
          <x14:colorMarkers rgb="FFD00000"/>
          <x14:colorFirst rgb="FFD00000"/>
          <x14:colorLast rgb="FFD00000"/>
          <x14:colorHigh rgb="FFD00000"/>
          <x14:colorLow rgb="FFD00000"/>
          <x14:sparklines>
            <x14:sparkline>
              <xm:f>Product_Trends!B3:J3</xm:f>
              <xm:sqref>L3</xm:sqref>
            </x14:sparkline>
          </x14:sparklines>
        </x14:sparklineGroup>
        <x14:sparklineGroup displayEmptyCellsAs="gap" high="1" low="1" xr2:uid="{962A3369-2364-43B9-80F6-9EFF7355D81F}">
          <x14:colorSeries theme="9" tint="-0.249977111117893"/>
          <x14:colorNegative theme="4"/>
          <x14:colorAxis rgb="FF000000"/>
          <x14:colorMarkers theme="4" tint="-0.249977111117893"/>
          <x14:colorFirst theme="4" tint="-0.249977111117893"/>
          <x14:colorLast theme="4" tint="-0.249977111117893"/>
          <x14:colorHigh theme="4" tint="-0.249977111117893"/>
          <x14:colorLow theme="4" tint="-0.249977111117893"/>
          <x14:sparklines>
            <x14:sparkline>
              <xm:f>Product_Trends!B4:J4</xm:f>
              <xm:sqref>L4</xm:sqref>
            </x14:sparkline>
          </x14:sparklines>
        </x14:sparklineGroup>
        <x14:sparklineGroup displayEmptyCellsAs="gap" high="1" low="1" xr2:uid="{5A14197D-CD9C-4CD3-988F-8FCD4DC75C06}">
          <x14:colorSeries theme="3"/>
          <x14:colorNegative theme="4"/>
          <x14:colorAxis rgb="FF000000"/>
          <x14:colorMarkers theme="9"/>
          <x14:colorFirst theme="5"/>
          <x14:colorLast theme="6"/>
          <x14:colorHigh theme="7"/>
          <x14:colorLow theme="8"/>
          <x14:sparklines>
            <x14:sparkline>
              <xm:f>Product_Trends!B5:J5</xm:f>
              <xm:sqref>L5</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sales_data_original</vt:lpstr>
      <vt:lpstr>sales_data</vt:lpstr>
      <vt:lpstr>sorted_analysis</vt:lpstr>
      <vt:lpstr>Region_Analysis</vt:lpstr>
      <vt:lpstr>Product_Analysis</vt:lpstr>
      <vt:lpstr>Customer_Analysis</vt:lpstr>
      <vt:lpstr>Product_Trends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MD. SAEED AL HASAN</cp:lastModifiedBy>
  <dcterms:created xsi:type="dcterms:W3CDTF">2025-10-21T09:39:26Z</dcterms:created>
  <dcterms:modified xsi:type="dcterms:W3CDTF">2025-10-25T02:57:05Z</dcterms:modified>
</cp:coreProperties>
</file>